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y Jafferani\Desktop\"/>
    </mc:Choice>
  </mc:AlternateContent>
  <xr:revisionPtr revIDLastSave="0" documentId="13_ncr:1_{E3E6AED2-7FB5-41A9-A24D-2C4A46F7D9F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ome" sheetId="1" r:id="rId1"/>
    <sheet name="Lists" sheetId="2" state="hidden" r:id="rId2"/>
    <sheet name="Recipes" sheetId="3" r:id="rId3"/>
    <sheet name="Data" sheetId="4" r:id="rId4"/>
    <sheet name="Pantry" sheetId="5" r:id="rId5"/>
    <sheet name="Shopping List" sheetId="6" r:id="rId6"/>
    <sheet name="What Can I Cook" sheetId="7" r:id="rId7"/>
    <sheet name="Recipe Car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8" l="1" a="1"/>
  <c r="B27" i="8" s="1"/>
  <c r="B26" i="8" a="1"/>
  <c r="B26" i="8" s="1"/>
  <c r="B25" i="8" a="1"/>
  <c r="B25" i="8" s="1"/>
  <c r="B24" i="8" a="1"/>
  <c r="B24" i="8" s="1"/>
  <c r="B23" i="8" a="1"/>
  <c r="B23" i="8" s="1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C7" i="8"/>
  <c r="C6" i="8"/>
  <c r="F5" i="8"/>
  <c r="C5" i="8"/>
  <c r="F4" i="8"/>
  <c r="C4" i="8"/>
  <c r="F1" i="7"/>
  <c r="G69" i="6"/>
  <c r="C69" i="6"/>
  <c r="G68" i="6"/>
  <c r="C68" i="6"/>
  <c r="G67" i="6"/>
  <c r="C67" i="6"/>
  <c r="G66" i="6"/>
  <c r="C66" i="6"/>
  <c r="G65" i="6"/>
  <c r="C65" i="6"/>
  <c r="G64" i="6"/>
  <c r="C64" i="6"/>
  <c r="G63" i="6"/>
  <c r="C63" i="6"/>
  <c r="G62" i="6"/>
  <c r="C62" i="6"/>
  <c r="G61" i="6"/>
  <c r="C61" i="6"/>
  <c r="G60" i="6"/>
  <c r="C60" i="6"/>
  <c r="G59" i="6"/>
  <c r="C59" i="6"/>
  <c r="G58" i="6"/>
  <c r="C58" i="6"/>
  <c r="G57" i="6"/>
  <c r="C57" i="6"/>
  <c r="G56" i="6"/>
  <c r="C56" i="6"/>
  <c r="G55" i="6"/>
  <c r="C55" i="6"/>
  <c r="G54" i="6"/>
  <c r="C54" i="6"/>
  <c r="G53" i="6"/>
  <c r="C53" i="6"/>
  <c r="G52" i="6"/>
  <c r="C52" i="6"/>
  <c r="G51" i="6"/>
  <c r="C51" i="6"/>
  <c r="G50" i="6"/>
  <c r="C50" i="6"/>
  <c r="G49" i="6"/>
  <c r="C49" i="6"/>
  <c r="G48" i="6"/>
  <c r="C48" i="6"/>
  <c r="G47" i="6"/>
  <c r="C47" i="6"/>
  <c r="G46" i="6"/>
  <c r="C46" i="6"/>
  <c r="G45" i="6"/>
  <c r="C45" i="6"/>
  <c r="G44" i="6"/>
  <c r="C44" i="6"/>
  <c r="G43" i="6"/>
  <c r="C43" i="6"/>
  <c r="G42" i="6"/>
  <c r="C42" i="6"/>
  <c r="G41" i="6"/>
  <c r="C41" i="6"/>
  <c r="G40" i="6"/>
  <c r="C40" i="6"/>
  <c r="G39" i="6"/>
  <c r="C39" i="6"/>
  <c r="G38" i="6"/>
  <c r="C38" i="6"/>
  <c r="G37" i="6"/>
  <c r="C37" i="6"/>
  <c r="G36" i="6"/>
  <c r="C36" i="6"/>
  <c r="G35" i="6"/>
  <c r="C35" i="6"/>
  <c r="G34" i="6"/>
  <c r="C34" i="6"/>
  <c r="G33" i="6"/>
  <c r="C33" i="6"/>
  <c r="G32" i="6"/>
  <c r="C32" i="6"/>
  <c r="G31" i="6"/>
  <c r="C31" i="6"/>
  <c r="G30" i="6"/>
  <c r="C30" i="6"/>
  <c r="G29" i="6"/>
  <c r="C29" i="6"/>
  <c r="G28" i="6"/>
  <c r="C28" i="6"/>
  <c r="G27" i="6"/>
  <c r="C27" i="6"/>
  <c r="G26" i="6"/>
  <c r="C26" i="6"/>
  <c r="G25" i="6"/>
  <c r="C25" i="6"/>
  <c r="G24" i="6"/>
  <c r="C24" i="6"/>
  <c r="G23" i="6"/>
  <c r="C23" i="6"/>
  <c r="G22" i="6"/>
  <c r="C22" i="6"/>
  <c r="G21" i="6"/>
  <c r="C21" i="6"/>
  <c r="G20" i="6"/>
  <c r="C20" i="6"/>
  <c r="G19" i="6"/>
  <c r="C19" i="6"/>
  <c r="G18" i="6"/>
  <c r="C18" i="6"/>
  <c r="G17" i="6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E5" i="6" a="1"/>
  <c r="E5" i="6" s="1"/>
  <c r="C4" i="5" a="1"/>
  <c r="C4" i="5" s="1"/>
  <c r="F3" i="5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J207" i="4"/>
  <c r="H207" i="4"/>
  <c r="I207" i="4" s="1"/>
  <c r="H7" i="5" s="1"/>
  <c r="I7" i="5" s="1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I3" i="3"/>
  <c r="F3" i="3"/>
  <c r="G11" i="2"/>
  <c r="G10" i="2"/>
  <c r="G9" i="2"/>
  <c r="G8" i="2"/>
  <c r="G7" i="2"/>
  <c r="G6" i="2"/>
  <c r="G5" i="2"/>
  <c r="G4" i="2"/>
  <c r="G3" i="2"/>
  <c r="G2" i="2"/>
  <c r="F10" i="1"/>
  <c r="C27" i="8" l="1"/>
  <c r="D27" i="8"/>
  <c r="E27" i="8"/>
  <c r="F27" i="8"/>
  <c r="C26" i="8"/>
  <c r="D26" i="8"/>
  <c r="E26" i="8"/>
  <c r="F26" i="8"/>
  <c r="C25" i="8"/>
  <c r="D25" i="8"/>
  <c r="E25" i="8"/>
  <c r="F25" i="8"/>
  <c r="D24" i="8"/>
  <c r="C24" i="8"/>
  <c r="F24" i="8"/>
  <c r="E24" i="8"/>
  <c r="F23" i="8"/>
  <c r="C23" i="8"/>
  <c r="D23" i="8"/>
  <c r="E23" i="8"/>
  <c r="C22" i="8"/>
  <c r="D22" i="8"/>
  <c r="E22" i="8"/>
  <c r="F22" i="8"/>
  <c r="C21" i="8"/>
  <c r="D21" i="8"/>
  <c r="E21" i="8"/>
  <c r="F21" i="8" s="1"/>
  <c r="C20" i="8"/>
  <c r="F20" i="8" s="1"/>
  <c r="D20" i="8"/>
  <c r="E20" i="8"/>
  <c r="C19" i="8"/>
  <c r="F19" i="8" s="1"/>
  <c r="D19" i="8"/>
  <c r="E19" i="8"/>
  <c r="C18" i="8"/>
  <c r="F18" i="8" s="1"/>
  <c r="D18" i="8"/>
  <c r="E18" i="8"/>
  <c r="C17" i="8"/>
  <c r="D17" i="8"/>
  <c r="E17" i="8"/>
  <c r="F17" i="8" s="1"/>
  <c r="C16" i="8"/>
  <c r="D16" i="8"/>
  <c r="E16" i="8"/>
  <c r="F16" i="8" s="1"/>
  <c r="C15" i="8"/>
  <c r="F15" i="8" s="1"/>
  <c r="D15" i="8"/>
  <c r="E15" i="8"/>
  <c r="C14" i="8"/>
  <c r="F14" i="8" s="1"/>
  <c r="D14" i="8"/>
  <c r="E14" i="8"/>
  <c r="C13" i="8"/>
  <c r="F13" i="8" s="1"/>
  <c r="D13" i="8"/>
  <c r="E13" i="8"/>
  <c r="C12" i="8"/>
  <c r="F12" i="8" s="1"/>
  <c r="D12" i="8"/>
  <c r="E12" i="8"/>
  <c r="C11" i="8"/>
  <c r="D11" i="8"/>
  <c r="E11" i="8"/>
  <c r="F11" i="8" s="1"/>
  <c r="C10" i="8"/>
  <c r="F10" i="8" s="1"/>
  <c r="D10" i="8"/>
  <c r="E10" i="8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H58" i="5" s="1"/>
  <c r="I58" i="5" s="1"/>
  <c r="I271" i="4"/>
  <c r="J271" i="4"/>
  <c r="J270" i="4"/>
  <c r="I270" i="4"/>
  <c r="H22" i="5" s="1"/>
  <c r="I22" i="5" s="1"/>
  <c r="J269" i="4"/>
  <c r="I269" i="4"/>
  <c r="H18" i="5" s="1"/>
  <c r="I18" i="5" s="1"/>
  <c r="I268" i="4"/>
  <c r="J268" i="4"/>
  <c r="J267" i="4"/>
  <c r="I267" i="4"/>
  <c r="J266" i="4"/>
  <c r="I266" i="4"/>
  <c r="J265" i="4"/>
  <c r="I265" i="4"/>
  <c r="J264" i="4"/>
  <c r="I264" i="4"/>
  <c r="I263" i="4"/>
  <c r="J263" i="4"/>
  <c r="J262" i="4"/>
  <c r="I262" i="4"/>
  <c r="J261" i="4"/>
  <c r="I261" i="4"/>
  <c r="J260" i="4"/>
  <c r="I260" i="4"/>
  <c r="J259" i="4"/>
  <c r="I259" i="4"/>
  <c r="I258" i="4"/>
  <c r="H67" i="5" s="1"/>
  <c r="I67" i="5" s="1"/>
  <c r="J258" i="4"/>
  <c r="I257" i="4"/>
  <c r="J257" i="4"/>
  <c r="J256" i="4"/>
  <c r="I256" i="4"/>
  <c r="I255" i="4"/>
  <c r="J255" i="4"/>
  <c r="J254" i="4"/>
  <c r="I254" i="4"/>
  <c r="J253" i="4"/>
  <c r="I253" i="4"/>
  <c r="J252" i="4"/>
  <c r="I252" i="4"/>
  <c r="J251" i="4"/>
  <c r="I251" i="4"/>
  <c r="J250" i="4"/>
  <c r="I250" i="4"/>
  <c r="H54" i="5" s="1"/>
  <c r="I54" i="5" s="1"/>
  <c r="J249" i="4"/>
  <c r="I249" i="4"/>
  <c r="H63" i="5" s="1"/>
  <c r="I63" i="5" s="1"/>
  <c r="J248" i="4"/>
  <c r="I248" i="4"/>
  <c r="H41" i="5" s="1"/>
  <c r="I41" i="5" s="1"/>
  <c r="J247" i="4"/>
  <c r="I247" i="4"/>
  <c r="J246" i="4"/>
  <c r="I246" i="4"/>
  <c r="J245" i="4"/>
  <c r="I245" i="4"/>
  <c r="H27" i="5" s="1"/>
  <c r="I27" i="5" s="1"/>
  <c r="J244" i="4"/>
  <c r="I244" i="4"/>
  <c r="J243" i="4"/>
  <c r="I243" i="4"/>
  <c r="I242" i="4"/>
  <c r="H47" i="5" s="1"/>
  <c r="I47" i="5" s="1"/>
  <c r="J242" i="4"/>
  <c r="J241" i="4"/>
  <c r="I241" i="4"/>
  <c r="H37" i="5" s="1"/>
  <c r="I37" i="5" s="1"/>
  <c r="J240" i="4"/>
  <c r="I240" i="4"/>
  <c r="I239" i="4"/>
  <c r="J239" i="4"/>
  <c r="J238" i="4"/>
  <c r="I238" i="4"/>
  <c r="I237" i="4"/>
  <c r="J237" i="4"/>
  <c r="I236" i="4"/>
  <c r="J236" i="4"/>
  <c r="I235" i="4"/>
  <c r="J235" i="4"/>
  <c r="J234" i="4"/>
  <c r="I234" i="4"/>
  <c r="I233" i="4"/>
  <c r="J233" i="4"/>
  <c r="J232" i="4"/>
  <c r="I232" i="4"/>
  <c r="J231" i="4"/>
  <c r="I231" i="4"/>
  <c r="I230" i="4"/>
  <c r="J230" i="4"/>
  <c r="I229" i="4"/>
  <c r="J229" i="4"/>
  <c r="J228" i="4"/>
  <c r="I228" i="4"/>
  <c r="J227" i="4"/>
  <c r="I227" i="4"/>
  <c r="J226" i="4"/>
  <c r="I226" i="4"/>
  <c r="I225" i="4"/>
  <c r="J225" i="4"/>
  <c r="I224" i="4"/>
  <c r="J224" i="4"/>
  <c r="I223" i="4"/>
  <c r="J223" i="4"/>
  <c r="J222" i="4"/>
  <c r="I222" i="4"/>
  <c r="J221" i="4"/>
  <c r="I221" i="4"/>
  <c r="J220" i="4"/>
  <c r="I220" i="4"/>
  <c r="I219" i="4"/>
  <c r="J219" i="4"/>
  <c r="I218" i="4"/>
  <c r="J218" i="4"/>
  <c r="I217" i="4"/>
  <c r="J217" i="4"/>
  <c r="I216" i="4"/>
  <c r="J216" i="4"/>
  <c r="I215" i="4"/>
  <c r="J215" i="4"/>
  <c r="J214" i="4"/>
  <c r="I214" i="4"/>
  <c r="J213" i="4"/>
  <c r="I213" i="4"/>
  <c r="I212" i="4"/>
  <c r="J212" i="4"/>
  <c r="J211" i="4"/>
  <c r="I211" i="4"/>
  <c r="J210" i="4"/>
  <c r="I210" i="4"/>
  <c r="J209" i="4"/>
  <c r="I209" i="4"/>
  <c r="J208" i="4"/>
  <c r="I208" i="4"/>
  <c r="J7" i="5"/>
  <c r="F8" i="6"/>
  <c r="H8" i="6" s="1"/>
  <c r="A4" i="7"/>
  <c r="K207" i="4"/>
  <c r="I206" i="4"/>
  <c r="J206" i="4"/>
  <c r="I205" i="4"/>
  <c r="J205" i="4"/>
  <c r="I204" i="4"/>
  <c r="J204" i="4"/>
  <c r="I203" i="4"/>
  <c r="J203" i="4"/>
  <c r="J202" i="4"/>
  <c r="I202" i="4"/>
  <c r="J201" i="4"/>
  <c r="I201" i="4"/>
  <c r="I200" i="4"/>
  <c r="J200" i="4"/>
  <c r="J199" i="4"/>
  <c r="I199" i="4"/>
  <c r="I198" i="4"/>
  <c r="J198" i="4"/>
  <c r="I197" i="4"/>
  <c r="J197" i="4"/>
  <c r="I196" i="4"/>
  <c r="J196" i="4"/>
  <c r="I195" i="4"/>
  <c r="J195" i="4"/>
  <c r="I194" i="4"/>
  <c r="J194" i="4"/>
  <c r="I193" i="4"/>
  <c r="H11" i="5" s="1"/>
  <c r="I11" i="5" s="1"/>
  <c r="J193" i="4"/>
  <c r="I192" i="4"/>
  <c r="J192" i="4"/>
  <c r="I191" i="4"/>
  <c r="J191" i="4"/>
  <c r="J190" i="4"/>
  <c r="I190" i="4"/>
  <c r="I189" i="4"/>
  <c r="J189" i="4"/>
  <c r="I188" i="4"/>
  <c r="J188" i="4"/>
  <c r="J187" i="4"/>
  <c r="I187" i="4"/>
  <c r="J186" i="4"/>
  <c r="I186" i="4"/>
  <c r="J185" i="4"/>
  <c r="I185" i="4"/>
  <c r="J184" i="4"/>
  <c r="I184" i="4"/>
  <c r="J183" i="4"/>
  <c r="I183" i="4"/>
  <c r="I182" i="4"/>
  <c r="J182" i="4"/>
  <c r="J181" i="4"/>
  <c r="I181" i="4"/>
  <c r="H19" i="5" s="1"/>
  <c r="I19" i="5" s="1"/>
  <c r="J180" i="4"/>
  <c r="I180" i="4"/>
  <c r="I179" i="4"/>
  <c r="J179" i="4"/>
  <c r="I178" i="4"/>
  <c r="J178" i="4"/>
  <c r="I177" i="4"/>
  <c r="J177" i="4"/>
  <c r="I176" i="4"/>
  <c r="J176" i="4"/>
  <c r="I175" i="4"/>
  <c r="J175" i="4"/>
  <c r="I174" i="4"/>
  <c r="J174" i="4"/>
  <c r="I173" i="4"/>
  <c r="J173" i="4"/>
  <c r="I172" i="4"/>
  <c r="J172" i="4"/>
  <c r="I171" i="4"/>
  <c r="J171" i="4"/>
  <c r="I170" i="4"/>
  <c r="H57" i="5" s="1"/>
  <c r="I57" i="5" s="1"/>
  <c r="J170" i="4"/>
  <c r="I169" i="4"/>
  <c r="J169" i="4"/>
  <c r="J168" i="4"/>
  <c r="I168" i="4"/>
  <c r="I167" i="4"/>
  <c r="J167" i="4"/>
  <c r="I166" i="4"/>
  <c r="J166" i="4"/>
  <c r="J165" i="4"/>
  <c r="I165" i="4"/>
  <c r="J164" i="4"/>
  <c r="I164" i="4"/>
  <c r="J163" i="4"/>
  <c r="I163" i="4"/>
  <c r="J162" i="4"/>
  <c r="I162" i="4"/>
  <c r="I161" i="4"/>
  <c r="J161" i="4"/>
  <c r="I160" i="4"/>
  <c r="J160" i="4"/>
  <c r="I159" i="4"/>
  <c r="J159" i="4"/>
  <c r="I158" i="4"/>
  <c r="H59" i="5" s="1"/>
  <c r="I59" i="5" s="1"/>
  <c r="J158" i="4"/>
  <c r="I157" i="4"/>
  <c r="J157" i="4"/>
  <c r="I156" i="4"/>
  <c r="J156" i="4"/>
  <c r="J155" i="4"/>
  <c r="I155" i="4"/>
  <c r="I154" i="4"/>
  <c r="J154" i="4"/>
  <c r="I153" i="4"/>
  <c r="J153" i="4"/>
  <c r="J152" i="4"/>
  <c r="I152" i="4"/>
  <c r="I151" i="4"/>
  <c r="J151" i="4"/>
  <c r="J150" i="4"/>
  <c r="I150" i="4"/>
  <c r="H8" i="5" s="1"/>
  <c r="I8" i="5" s="1"/>
  <c r="I149" i="4"/>
  <c r="H10" i="5" s="1"/>
  <c r="I10" i="5" s="1"/>
  <c r="J149" i="4"/>
  <c r="J148" i="4"/>
  <c r="I148" i="4"/>
  <c r="I147" i="4"/>
  <c r="J147" i="4"/>
  <c r="I146" i="4"/>
  <c r="J146" i="4"/>
  <c r="J145" i="4"/>
  <c r="I145" i="4"/>
  <c r="I144" i="4"/>
  <c r="J144" i="4"/>
  <c r="I143" i="4"/>
  <c r="H23" i="5" s="1"/>
  <c r="I23" i="5" s="1"/>
  <c r="J143" i="4"/>
  <c r="I142" i="4"/>
  <c r="H9" i="5" s="1"/>
  <c r="I9" i="5" s="1"/>
  <c r="J142" i="4"/>
  <c r="I141" i="4"/>
  <c r="J141" i="4"/>
  <c r="J140" i="4"/>
  <c r="I140" i="4"/>
  <c r="H61" i="5" s="1"/>
  <c r="I61" i="5" s="1"/>
  <c r="I139" i="4"/>
  <c r="H62" i="5" s="1"/>
  <c r="I62" i="5" s="1"/>
  <c r="J139" i="4"/>
  <c r="I138" i="4"/>
  <c r="H60" i="5" s="1"/>
  <c r="I60" i="5" s="1"/>
  <c r="J138" i="4"/>
  <c r="I137" i="4"/>
  <c r="H48" i="5" s="1"/>
  <c r="I48" i="5" s="1"/>
  <c r="J137" i="4"/>
  <c r="I136" i="4"/>
  <c r="H55" i="5" s="1"/>
  <c r="I55" i="5" s="1"/>
  <c r="J136" i="4"/>
  <c r="J135" i="4"/>
  <c r="I135" i="4"/>
  <c r="H50" i="5" s="1"/>
  <c r="I50" i="5" s="1"/>
  <c r="J134" i="4"/>
  <c r="I134" i="4"/>
  <c r="I133" i="4"/>
  <c r="J133" i="4"/>
  <c r="J132" i="4"/>
  <c r="I132" i="4"/>
  <c r="I131" i="4"/>
  <c r="J131" i="4"/>
  <c r="I130" i="4"/>
  <c r="J130" i="4"/>
  <c r="J129" i="4"/>
  <c r="I129" i="4"/>
  <c r="J128" i="4"/>
  <c r="I128" i="4"/>
  <c r="J127" i="4"/>
  <c r="I127" i="4"/>
  <c r="H30" i="5" s="1"/>
  <c r="I30" i="5" s="1"/>
  <c r="I126" i="4"/>
  <c r="J126" i="4"/>
  <c r="J125" i="4"/>
  <c r="I125" i="4"/>
  <c r="I124" i="4"/>
  <c r="J124" i="4"/>
  <c r="J123" i="4"/>
  <c r="I123" i="4"/>
  <c r="J122" i="4"/>
  <c r="I122" i="4"/>
  <c r="I121" i="4"/>
  <c r="J121" i="4"/>
  <c r="J120" i="4"/>
  <c r="I120" i="4"/>
  <c r="J119" i="4"/>
  <c r="I119" i="4"/>
  <c r="J118" i="4"/>
  <c r="I118" i="4"/>
  <c r="H26" i="5" s="1"/>
  <c r="I26" i="5" s="1"/>
  <c r="J117" i="4"/>
  <c r="I117" i="4"/>
  <c r="J116" i="4"/>
  <c r="I116" i="4"/>
  <c r="J115" i="4"/>
  <c r="I115" i="4"/>
  <c r="J114" i="4"/>
  <c r="I114" i="4"/>
  <c r="I113" i="4"/>
  <c r="J113" i="4"/>
  <c r="J112" i="4"/>
  <c r="I112" i="4"/>
  <c r="J111" i="4"/>
  <c r="I111" i="4"/>
  <c r="I110" i="4"/>
  <c r="H40" i="5" s="1"/>
  <c r="I40" i="5" s="1"/>
  <c r="J110" i="4"/>
  <c r="I109" i="4"/>
  <c r="J109" i="4"/>
  <c r="J108" i="4"/>
  <c r="I108" i="4"/>
  <c r="I107" i="4"/>
  <c r="J107" i="4"/>
  <c r="I106" i="4"/>
  <c r="J106" i="4"/>
  <c r="I105" i="4"/>
  <c r="H21" i="5" s="1"/>
  <c r="I21" i="5" s="1"/>
  <c r="J105" i="4"/>
  <c r="J104" i="4"/>
  <c r="I104" i="4"/>
  <c r="H25" i="5" s="1"/>
  <c r="I25" i="5" s="1"/>
  <c r="I103" i="4"/>
  <c r="J103" i="4"/>
  <c r="I102" i="4"/>
  <c r="J102" i="4"/>
  <c r="I101" i="4"/>
  <c r="J101" i="4"/>
  <c r="I100" i="4"/>
  <c r="J100" i="4"/>
  <c r="J99" i="4"/>
  <c r="I99" i="4"/>
  <c r="I98" i="4"/>
  <c r="J98" i="4"/>
  <c r="J97" i="4"/>
  <c r="I97" i="4"/>
  <c r="J96" i="4"/>
  <c r="I96" i="4"/>
  <c r="J95" i="4"/>
  <c r="I95" i="4"/>
  <c r="J94" i="4"/>
  <c r="I94" i="4"/>
  <c r="J93" i="4"/>
  <c r="I93" i="4"/>
  <c r="I92" i="4"/>
  <c r="H66" i="5" s="1"/>
  <c r="I66" i="5" s="1"/>
  <c r="J92" i="4"/>
  <c r="J91" i="4"/>
  <c r="I91" i="4"/>
  <c r="I90" i="4"/>
  <c r="J90" i="4"/>
  <c r="J89" i="4"/>
  <c r="I89" i="4"/>
  <c r="J88" i="4"/>
  <c r="I88" i="4"/>
  <c r="J87" i="4"/>
  <c r="I87" i="4"/>
  <c r="J86" i="4"/>
  <c r="I86" i="4"/>
  <c r="I85" i="4"/>
  <c r="J85" i="4"/>
  <c r="J84" i="4"/>
  <c r="I84" i="4"/>
  <c r="I83" i="4"/>
  <c r="J83" i="4"/>
  <c r="I82" i="4"/>
  <c r="J82" i="4"/>
  <c r="J81" i="4"/>
  <c r="I81" i="4"/>
  <c r="J80" i="4"/>
  <c r="I80" i="4"/>
  <c r="H65" i="5" s="1"/>
  <c r="I65" i="5" s="1"/>
  <c r="I79" i="4"/>
  <c r="J79" i="4"/>
  <c r="J78" i="4"/>
  <c r="I78" i="4"/>
  <c r="J77" i="4"/>
  <c r="I77" i="4"/>
  <c r="I76" i="4"/>
  <c r="J76" i="4"/>
  <c r="I75" i="4"/>
  <c r="J75" i="4"/>
  <c r="I74" i="4"/>
  <c r="J74" i="4"/>
  <c r="I73" i="4"/>
  <c r="J73" i="4"/>
  <c r="J72" i="4"/>
  <c r="I72" i="4"/>
  <c r="I71" i="4"/>
  <c r="J71" i="4"/>
  <c r="I70" i="4"/>
  <c r="J70" i="4"/>
  <c r="I69" i="4"/>
  <c r="J69" i="4"/>
  <c r="I68" i="4"/>
  <c r="J68" i="4"/>
  <c r="I67" i="4"/>
  <c r="J67" i="4"/>
  <c r="I66" i="4"/>
  <c r="J66" i="4"/>
  <c r="I65" i="4"/>
  <c r="J65" i="4"/>
  <c r="I64" i="4"/>
  <c r="J64" i="4"/>
  <c r="I63" i="4"/>
  <c r="J63" i="4"/>
  <c r="J62" i="4"/>
  <c r="I62" i="4"/>
  <c r="J61" i="4"/>
  <c r="I61" i="4"/>
  <c r="J60" i="4"/>
  <c r="I60" i="4"/>
  <c r="J59" i="4"/>
  <c r="I59" i="4"/>
  <c r="H52" i="5" s="1"/>
  <c r="I52" i="5" s="1"/>
  <c r="J58" i="4"/>
  <c r="I58" i="4"/>
  <c r="J57" i="4"/>
  <c r="I57" i="4"/>
  <c r="J56" i="4"/>
  <c r="I56" i="4"/>
  <c r="J55" i="4"/>
  <c r="I55" i="4"/>
  <c r="I54" i="4"/>
  <c r="J54" i="4"/>
  <c r="J53" i="4"/>
  <c r="I53" i="4"/>
  <c r="J52" i="4"/>
  <c r="I52" i="4"/>
  <c r="J51" i="4"/>
  <c r="I51" i="4"/>
  <c r="J50" i="4"/>
  <c r="I50" i="4"/>
  <c r="J49" i="4"/>
  <c r="I49" i="4"/>
  <c r="H33" i="5" s="1"/>
  <c r="I33" i="5" s="1"/>
  <c r="J48" i="4"/>
  <c r="I48" i="4"/>
  <c r="J47" i="4"/>
  <c r="I47" i="4"/>
  <c r="J46" i="4"/>
  <c r="I46" i="4"/>
  <c r="H14" i="5" s="1"/>
  <c r="I14" i="5" s="1"/>
  <c r="J45" i="4"/>
  <c r="I45" i="4"/>
  <c r="J44" i="4"/>
  <c r="I44" i="4"/>
  <c r="J43" i="4"/>
  <c r="I43" i="4"/>
  <c r="I42" i="4"/>
  <c r="J42" i="4"/>
  <c r="I41" i="4"/>
  <c r="J41" i="4"/>
  <c r="I40" i="4"/>
  <c r="J40" i="4"/>
  <c r="I39" i="4"/>
  <c r="J39" i="4"/>
  <c r="I38" i="4"/>
  <c r="H39" i="5" s="1"/>
  <c r="I39" i="5" s="1"/>
  <c r="J38" i="4"/>
  <c r="J37" i="4"/>
  <c r="I37" i="4"/>
  <c r="I36" i="4"/>
  <c r="H34" i="5" s="1"/>
  <c r="I34" i="5" s="1"/>
  <c r="J36" i="4"/>
  <c r="J35" i="4"/>
  <c r="I35" i="4"/>
  <c r="H44" i="5" s="1"/>
  <c r="I44" i="5" s="1"/>
  <c r="J34" i="4"/>
  <c r="I34" i="4"/>
  <c r="H42" i="5" s="1"/>
  <c r="I42" i="5" s="1"/>
  <c r="I33" i="4"/>
  <c r="J33" i="4"/>
  <c r="I32" i="4"/>
  <c r="J32" i="4"/>
  <c r="I31" i="4"/>
  <c r="J31" i="4"/>
  <c r="I30" i="4"/>
  <c r="H68" i="5" s="1"/>
  <c r="I68" i="5" s="1"/>
  <c r="J30" i="4"/>
  <c r="I29" i="4"/>
  <c r="J29" i="4"/>
  <c r="I28" i="4"/>
  <c r="J28" i="4"/>
  <c r="J27" i="4"/>
  <c r="I27" i="4"/>
  <c r="J26" i="4"/>
  <c r="I26" i="4"/>
  <c r="I25" i="4"/>
  <c r="J25" i="4"/>
  <c r="J24" i="4"/>
  <c r="I24" i="4"/>
  <c r="H38" i="5" s="1"/>
  <c r="I38" i="5" s="1"/>
  <c r="I23" i="4"/>
  <c r="H35" i="5" s="1"/>
  <c r="I35" i="5" s="1"/>
  <c r="J23" i="4"/>
  <c r="J22" i="4"/>
  <c r="I22" i="4"/>
  <c r="H36" i="5" s="1"/>
  <c r="I36" i="5" s="1"/>
  <c r="J21" i="4"/>
  <c r="I21" i="4"/>
  <c r="H45" i="5" s="1"/>
  <c r="I45" i="5" s="1"/>
  <c r="I20" i="4"/>
  <c r="J20" i="4"/>
  <c r="J19" i="4"/>
  <c r="I19" i="4"/>
  <c r="J18" i="4"/>
  <c r="I18" i="4"/>
  <c r="I17" i="4"/>
  <c r="J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H32" i="5" s="1"/>
  <c r="I32" i="5" s="1"/>
  <c r="I8" i="4"/>
  <c r="J8" i="4"/>
  <c r="I7" i="4"/>
  <c r="J7" i="4"/>
  <c r="J6" i="4"/>
  <c r="I6" i="4"/>
  <c r="I5" i="4"/>
  <c r="J5" i="4"/>
  <c r="J4" i="4"/>
  <c r="I4" i="4"/>
  <c r="H46" i="5" s="1"/>
  <c r="I46" i="5" s="1"/>
  <c r="J3" i="4"/>
  <c r="I3" i="4"/>
  <c r="H28" i="5" s="1"/>
  <c r="I28" i="5" s="1"/>
  <c r="J58" i="5" l="1"/>
  <c r="F59" i="6"/>
  <c r="H59" i="6" s="1"/>
  <c r="K272" i="4"/>
  <c r="A55" i="7"/>
  <c r="J22" i="5"/>
  <c r="A19" i="7"/>
  <c r="F23" i="6"/>
  <c r="H23" i="6" s="1"/>
  <c r="K270" i="4"/>
  <c r="J18" i="5"/>
  <c r="F19" i="6"/>
  <c r="H19" i="6" s="1"/>
  <c r="A15" i="7"/>
  <c r="K269" i="4"/>
  <c r="J67" i="5"/>
  <c r="F68" i="6"/>
  <c r="H68" i="6" s="1"/>
  <c r="A64" i="7"/>
  <c r="K258" i="4"/>
  <c r="J54" i="5"/>
  <c r="F55" i="6"/>
  <c r="H55" i="6" s="1"/>
  <c r="A51" i="7"/>
  <c r="K250" i="4"/>
  <c r="J63" i="5"/>
  <c r="F64" i="6"/>
  <c r="H64" i="6" s="1"/>
  <c r="A60" i="7"/>
  <c r="K249" i="4"/>
  <c r="J41" i="5"/>
  <c r="A38" i="7"/>
  <c r="F42" i="6"/>
  <c r="H42" i="6" s="1"/>
  <c r="K248" i="4"/>
  <c r="J27" i="5"/>
  <c r="A24" i="7"/>
  <c r="F28" i="6"/>
  <c r="H28" i="6" s="1"/>
  <c r="K245" i="4"/>
  <c r="J47" i="5"/>
  <c r="A44" i="7"/>
  <c r="F48" i="6"/>
  <c r="H48" i="6" s="1"/>
  <c r="K242" i="4"/>
  <c r="J37" i="5"/>
  <c r="F38" i="6"/>
  <c r="H38" i="6" s="1"/>
  <c r="A34" i="7"/>
  <c r="K241" i="4"/>
  <c r="M207" i="4"/>
  <c r="L207" i="4"/>
  <c r="J11" i="5"/>
  <c r="F12" i="6"/>
  <c r="H12" i="6" s="1"/>
  <c r="A8" i="7"/>
  <c r="K193" i="4"/>
  <c r="J19" i="5"/>
  <c r="F20" i="6"/>
  <c r="H20" i="6" s="1"/>
  <c r="A16" i="7"/>
  <c r="K181" i="4"/>
  <c r="J57" i="5"/>
  <c r="F58" i="6"/>
  <c r="H58" i="6" s="1"/>
  <c r="A54" i="7"/>
  <c r="K170" i="4"/>
  <c r="J59" i="5"/>
  <c r="F60" i="6"/>
  <c r="H60" i="6" s="1"/>
  <c r="A56" i="7"/>
  <c r="K158" i="4"/>
  <c r="J8" i="5"/>
  <c r="F9" i="6"/>
  <c r="H9" i="6" s="1"/>
  <c r="A5" i="7"/>
  <c r="K150" i="4"/>
  <c r="J10" i="5"/>
  <c r="F11" i="6"/>
  <c r="H11" i="6" s="1"/>
  <c r="A7" i="7"/>
  <c r="K195" i="4"/>
  <c r="K149" i="4"/>
  <c r="J23" i="5"/>
  <c r="A20" i="7"/>
  <c r="F24" i="6"/>
  <c r="H24" i="6" s="1"/>
  <c r="K151" i="4"/>
  <c r="K143" i="4"/>
  <c r="K265" i="4"/>
  <c r="J9" i="5"/>
  <c r="F10" i="6"/>
  <c r="H10" i="6" s="1"/>
  <c r="A6" i="7"/>
  <c r="K169" i="4"/>
  <c r="K142" i="4"/>
  <c r="K157" i="4"/>
  <c r="J61" i="5"/>
  <c r="F62" i="6"/>
  <c r="H62" i="6" s="1"/>
  <c r="A58" i="7"/>
  <c r="K140" i="4"/>
  <c r="J62" i="5"/>
  <c r="F63" i="6"/>
  <c r="H63" i="6" s="1"/>
  <c r="K139" i="4"/>
  <c r="K153" i="4"/>
  <c r="A59" i="7"/>
  <c r="J60" i="5"/>
  <c r="F61" i="6"/>
  <c r="H61" i="6" s="1"/>
  <c r="A57" i="7"/>
  <c r="K138" i="4"/>
  <c r="K152" i="4"/>
  <c r="J48" i="5"/>
  <c r="A45" i="7"/>
  <c r="F49" i="6"/>
  <c r="H49" i="6" s="1"/>
  <c r="K137" i="4"/>
  <c r="K166" i="4"/>
  <c r="J55" i="5"/>
  <c r="F56" i="6"/>
  <c r="H56" i="6" s="1"/>
  <c r="K165" i="4"/>
  <c r="K136" i="4"/>
  <c r="A52" i="7"/>
  <c r="J50" i="5"/>
  <c r="A47" i="7"/>
  <c r="F51" i="6"/>
  <c r="H51" i="6" s="1"/>
  <c r="K135" i="4"/>
  <c r="J30" i="5"/>
  <c r="F31" i="6"/>
  <c r="H31" i="6" s="1"/>
  <c r="A27" i="7"/>
  <c r="K127" i="4"/>
  <c r="K148" i="4"/>
  <c r="K134" i="4"/>
  <c r="J26" i="5"/>
  <c r="F27" i="6"/>
  <c r="H27" i="6" s="1"/>
  <c r="A23" i="7"/>
  <c r="K118" i="4"/>
  <c r="K208" i="4"/>
  <c r="K230" i="4"/>
  <c r="J40" i="5"/>
  <c r="F41" i="6"/>
  <c r="H41" i="6" s="1"/>
  <c r="A37" i="7"/>
  <c r="K110" i="4"/>
  <c r="K238" i="4"/>
  <c r="J21" i="5"/>
  <c r="F22" i="6"/>
  <c r="H22" i="6" s="1"/>
  <c r="A18" i="7"/>
  <c r="K105" i="4"/>
  <c r="K182" i="4"/>
  <c r="K194" i="4"/>
  <c r="K219" i="4"/>
  <c r="K231" i="4"/>
  <c r="J25" i="5"/>
  <c r="A22" i="7"/>
  <c r="F26" i="6"/>
  <c r="H26" i="6" s="1"/>
  <c r="K104" i="4"/>
  <c r="J66" i="5"/>
  <c r="F67" i="6"/>
  <c r="H67" i="6" s="1"/>
  <c r="A63" i="7"/>
  <c r="K92" i="4"/>
  <c r="J65" i="5"/>
  <c r="F66" i="6"/>
  <c r="H66" i="6" s="1"/>
  <c r="A62" i="7"/>
  <c r="K80" i="4"/>
  <c r="J52" i="5"/>
  <c r="F53" i="6"/>
  <c r="H53" i="6" s="1"/>
  <c r="A49" i="7"/>
  <c r="K59" i="4"/>
  <c r="K251" i="4"/>
  <c r="J33" i="5"/>
  <c r="F34" i="6"/>
  <c r="H34" i="6" s="1"/>
  <c r="A30" i="7"/>
  <c r="K49" i="4"/>
  <c r="K154" i="4"/>
  <c r="K164" i="4"/>
  <c r="K141" i="4"/>
  <c r="J14" i="5"/>
  <c r="F15" i="6"/>
  <c r="H15" i="6" s="1"/>
  <c r="A11" i="7"/>
  <c r="K46" i="4"/>
  <c r="K83" i="4"/>
  <c r="K253" i="4"/>
  <c r="K274" i="4"/>
  <c r="J39" i="5"/>
  <c r="F40" i="6"/>
  <c r="H40" i="6" s="1"/>
  <c r="A36" i="7"/>
  <c r="K64" i="4"/>
  <c r="K214" i="4"/>
  <c r="K38" i="4"/>
  <c r="J34" i="5"/>
  <c r="F35" i="6"/>
  <c r="H35" i="6" s="1"/>
  <c r="A31" i="7"/>
  <c r="K63" i="4"/>
  <c r="K36" i="4"/>
  <c r="K112" i="4"/>
  <c r="K202" i="4"/>
  <c r="K176" i="4"/>
  <c r="K240" i="4"/>
  <c r="J44" i="5"/>
  <c r="F45" i="6"/>
  <c r="H45" i="6" s="1"/>
  <c r="A41" i="7"/>
  <c r="K75" i="4"/>
  <c r="K98" i="4"/>
  <c r="K111" i="4"/>
  <c r="K87" i="4"/>
  <c r="K123" i="4"/>
  <c r="K187" i="4"/>
  <c r="K201" i="4"/>
  <c r="K213" i="4"/>
  <c r="K225" i="4"/>
  <c r="K35" i="4"/>
  <c r="K239" i="4"/>
  <c r="K262" i="4"/>
  <c r="J42" i="5"/>
  <c r="F43" i="6"/>
  <c r="H43" i="6" s="1"/>
  <c r="A39" i="7"/>
  <c r="K48" i="4"/>
  <c r="K62" i="4"/>
  <c r="K74" i="4"/>
  <c r="K34" i="4"/>
  <c r="K97" i="4"/>
  <c r="K109" i="4"/>
  <c r="K132" i="4"/>
  <c r="K163" i="4"/>
  <c r="K177" i="4"/>
  <c r="K186" i="4"/>
  <c r="K200" i="4"/>
  <c r="K86" i="4"/>
  <c r="K212" i="4"/>
  <c r="K224" i="4"/>
  <c r="K237" i="4"/>
  <c r="K263" i="4"/>
  <c r="K277" i="4"/>
  <c r="J68" i="5"/>
  <c r="F69" i="6"/>
  <c r="H69" i="6" s="1"/>
  <c r="A65" i="7"/>
  <c r="K30" i="4"/>
  <c r="J38" i="5"/>
  <c r="A35" i="7"/>
  <c r="F39" i="6"/>
  <c r="H39" i="6" s="1"/>
  <c r="K24" i="4"/>
  <c r="J35" i="5"/>
  <c r="A32" i="7"/>
  <c r="F36" i="6"/>
  <c r="H36" i="6" s="1"/>
  <c r="K23" i="4"/>
  <c r="K51" i="4"/>
  <c r="K185" i="4"/>
  <c r="K125" i="4"/>
  <c r="J36" i="5"/>
  <c r="F37" i="6"/>
  <c r="H37" i="6" s="1"/>
  <c r="A33" i="7"/>
  <c r="K22" i="4"/>
  <c r="K37" i="4"/>
  <c r="K50" i="4"/>
  <c r="K73" i="4"/>
  <c r="K96" i="4"/>
  <c r="K85" i="4"/>
  <c r="K184" i="4"/>
  <c r="K199" i="4"/>
  <c r="K222" i="4"/>
  <c r="K126" i="4"/>
  <c r="K264" i="4"/>
  <c r="J45" i="5"/>
  <c r="A42" i="7"/>
  <c r="F46" i="6"/>
  <c r="H46" i="6" s="1"/>
  <c r="K21" i="4"/>
  <c r="K61" i="4"/>
  <c r="K113" i="4"/>
  <c r="K175" i="4"/>
  <c r="K236" i="4"/>
  <c r="K121" i="4"/>
  <c r="K260" i="4"/>
  <c r="J32" i="5"/>
  <c r="F33" i="6"/>
  <c r="H33" i="6" s="1"/>
  <c r="A29" i="7"/>
  <c r="K9" i="4"/>
  <c r="J46" i="5"/>
  <c r="F47" i="6"/>
  <c r="H47" i="6" s="1"/>
  <c r="A43" i="7"/>
  <c r="K4" i="4"/>
  <c r="K19" i="4"/>
  <c r="K147" i="4"/>
  <c r="K257" i="4"/>
  <c r="J28" i="5"/>
  <c r="F29" i="6"/>
  <c r="H29" i="6" s="1"/>
  <c r="A25" i="7"/>
  <c r="K3" i="4"/>
  <c r="K18" i="4"/>
  <c r="K56" i="4"/>
  <c r="K42" i="4"/>
  <c r="K171" i="4"/>
  <c r="K133" i="4"/>
  <c r="K159" i="4"/>
  <c r="H12" i="5"/>
  <c r="I12" i="5" s="1"/>
  <c r="H64" i="5"/>
  <c r="I64" i="5" s="1"/>
  <c r="H29" i="5"/>
  <c r="I29" i="5" s="1"/>
  <c r="H56" i="5"/>
  <c r="I56" i="5" s="1"/>
  <c r="H51" i="5"/>
  <c r="I51" i="5" s="1"/>
  <c r="H43" i="5"/>
  <c r="I43" i="5" s="1"/>
  <c r="H16" i="5"/>
  <c r="I16" i="5" s="1"/>
  <c r="H15" i="5"/>
  <c r="I15" i="5" s="1"/>
  <c r="H13" i="5"/>
  <c r="I13" i="5" s="1"/>
  <c r="H17" i="5"/>
  <c r="I17" i="5" s="1"/>
  <c r="H49" i="5"/>
  <c r="I49" i="5" s="1"/>
  <c r="H53" i="5"/>
  <c r="I53" i="5" s="1"/>
  <c r="H31" i="5"/>
  <c r="I31" i="5" s="1"/>
  <c r="H24" i="5"/>
  <c r="I24" i="5" s="1"/>
  <c r="H20" i="5"/>
  <c r="I20" i="5" s="1"/>
  <c r="M272" i="4" l="1"/>
  <c r="L272" i="4"/>
  <c r="M270" i="4"/>
  <c r="L270" i="4"/>
  <c r="M269" i="4"/>
  <c r="L269" i="4"/>
  <c r="M258" i="4"/>
  <c r="L258" i="4"/>
  <c r="M250" i="4"/>
  <c r="L250" i="4"/>
  <c r="M249" i="4"/>
  <c r="L249" i="4"/>
  <c r="M248" i="4"/>
  <c r="L248" i="4"/>
  <c r="M245" i="4"/>
  <c r="L245" i="4"/>
  <c r="M242" i="4"/>
  <c r="L242" i="4"/>
  <c r="M241" i="4"/>
  <c r="L241" i="4"/>
  <c r="M193" i="4"/>
  <c r="L193" i="4"/>
  <c r="M181" i="4"/>
  <c r="L181" i="4"/>
  <c r="M170" i="4"/>
  <c r="L170" i="4"/>
  <c r="M158" i="4"/>
  <c r="L158" i="4"/>
  <c r="M150" i="4"/>
  <c r="L150" i="4"/>
  <c r="M195" i="4"/>
  <c r="L195" i="4"/>
  <c r="M149" i="4"/>
  <c r="L149" i="4"/>
  <c r="M151" i="4"/>
  <c r="L151" i="4"/>
  <c r="M143" i="4"/>
  <c r="L143" i="4"/>
  <c r="M265" i="4"/>
  <c r="L265" i="4"/>
  <c r="M169" i="4"/>
  <c r="L169" i="4"/>
  <c r="M142" i="4"/>
  <c r="L142" i="4"/>
  <c r="M157" i="4"/>
  <c r="L157" i="4"/>
  <c r="M140" i="4"/>
  <c r="L140" i="4"/>
  <c r="M139" i="4"/>
  <c r="L139" i="4"/>
  <c r="M153" i="4"/>
  <c r="L153" i="4"/>
  <c r="M138" i="4"/>
  <c r="L138" i="4"/>
  <c r="M152" i="4"/>
  <c r="L152" i="4"/>
  <c r="M137" i="4"/>
  <c r="L137" i="4"/>
  <c r="M166" i="4"/>
  <c r="L166" i="4"/>
  <c r="M165" i="4"/>
  <c r="L165" i="4"/>
  <c r="M136" i="4"/>
  <c r="L136" i="4"/>
  <c r="M135" i="4"/>
  <c r="L135" i="4"/>
  <c r="M127" i="4"/>
  <c r="L127" i="4"/>
  <c r="M148" i="4"/>
  <c r="L148" i="4"/>
  <c r="M134" i="4"/>
  <c r="L134" i="4"/>
  <c r="M118" i="4"/>
  <c r="L118" i="4"/>
  <c r="M208" i="4"/>
  <c r="L208" i="4"/>
  <c r="M230" i="4"/>
  <c r="L230" i="4"/>
  <c r="M110" i="4"/>
  <c r="L110" i="4"/>
  <c r="M238" i="4"/>
  <c r="L238" i="4"/>
  <c r="M105" i="4"/>
  <c r="L105" i="4"/>
  <c r="M182" i="4"/>
  <c r="L182" i="4"/>
  <c r="M194" i="4"/>
  <c r="L194" i="4"/>
  <c r="M219" i="4"/>
  <c r="L219" i="4"/>
  <c r="M231" i="4"/>
  <c r="L231" i="4"/>
  <c r="M104" i="4"/>
  <c r="L104" i="4"/>
  <c r="M92" i="4"/>
  <c r="L92" i="4"/>
  <c r="M80" i="4"/>
  <c r="L80" i="4"/>
  <c r="M59" i="4"/>
  <c r="L59" i="4"/>
  <c r="M251" i="4"/>
  <c r="L251" i="4"/>
  <c r="M49" i="4"/>
  <c r="L49" i="4"/>
  <c r="M154" i="4"/>
  <c r="L154" i="4"/>
  <c r="M164" i="4"/>
  <c r="L164" i="4"/>
  <c r="M141" i="4"/>
  <c r="L141" i="4"/>
  <c r="M46" i="4"/>
  <c r="L46" i="4"/>
  <c r="M83" i="4"/>
  <c r="L83" i="4"/>
  <c r="M253" i="4"/>
  <c r="L253" i="4"/>
  <c r="M274" i="4"/>
  <c r="L274" i="4"/>
  <c r="M64" i="4"/>
  <c r="L64" i="4"/>
  <c r="M214" i="4"/>
  <c r="L214" i="4"/>
  <c r="M38" i="4"/>
  <c r="L38" i="4"/>
  <c r="M63" i="4"/>
  <c r="L63" i="4"/>
  <c r="M36" i="4"/>
  <c r="L36" i="4"/>
  <c r="M112" i="4"/>
  <c r="L112" i="4"/>
  <c r="M202" i="4"/>
  <c r="L202" i="4"/>
  <c r="M176" i="4"/>
  <c r="L176" i="4"/>
  <c r="M240" i="4"/>
  <c r="L240" i="4"/>
  <c r="M75" i="4"/>
  <c r="L75" i="4"/>
  <c r="M98" i="4"/>
  <c r="L98" i="4"/>
  <c r="M111" i="4"/>
  <c r="L111" i="4"/>
  <c r="M87" i="4"/>
  <c r="L87" i="4"/>
  <c r="M123" i="4"/>
  <c r="L123" i="4"/>
  <c r="M187" i="4"/>
  <c r="L187" i="4"/>
  <c r="M201" i="4"/>
  <c r="L201" i="4"/>
  <c r="M213" i="4"/>
  <c r="L213" i="4"/>
  <c r="M225" i="4"/>
  <c r="L225" i="4"/>
  <c r="M35" i="4"/>
  <c r="L35" i="4"/>
  <c r="M239" i="4"/>
  <c r="L239" i="4"/>
  <c r="M262" i="4"/>
  <c r="L262" i="4"/>
  <c r="M48" i="4"/>
  <c r="L48" i="4"/>
  <c r="M62" i="4"/>
  <c r="L62" i="4"/>
  <c r="M74" i="4"/>
  <c r="L74" i="4"/>
  <c r="M34" i="4"/>
  <c r="L34" i="4"/>
  <c r="M97" i="4"/>
  <c r="L97" i="4"/>
  <c r="M109" i="4"/>
  <c r="L109" i="4"/>
  <c r="M132" i="4"/>
  <c r="L132" i="4"/>
  <c r="M163" i="4"/>
  <c r="L163" i="4"/>
  <c r="M177" i="4"/>
  <c r="L177" i="4"/>
  <c r="M186" i="4"/>
  <c r="L186" i="4"/>
  <c r="M200" i="4"/>
  <c r="L200" i="4"/>
  <c r="M86" i="4"/>
  <c r="L86" i="4"/>
  <c r="M212" i="4"/>
  <c r="L212" i="4"/>
  <c r="M224" i="4"/>
  <c r="L224" i="4"/>
  <c r="M237" i="4"/>
  <c r="L237" i="4"/>
  <c r="M263" i="4"/>
  <c r="L263" i="4"/>
  <c r="M277" i="4"/>
  <c r="L277" i="4"/>
  <c r="M30" i="4"/>
  <c r="L30" i="4"/>
  <c r="M24" i="4"/>
  <c r="L24" i="4"/>
  <c r="M23" i="4"/>
  <c r="L23" i="4"/>
  <c r="M51" i="4"/>
  <c r="L51" i="4"/>
  <c r="M185" i="4"/>
  <c r="L185" i="4"/>
  <c r="M125" i="4"/>
  <c r="L125" i="4"/>
  <c r="M22" i="4"/>
  <c r="L22" i="4"/>
  <c r="M37" i="4"/>
  <c r="L37" i="4"/>
  <c r="M50" i="4"/>
  <c r="L50" i="4"/>
  <c r="M73" i="4"/>
  <c r="L73" i="4"/>
  <c r="M96" i="4"/>
  <c r="L96" i="4"/>
  <c r="M85" i="4"/>
  <c r="L85" i="4"/>
  <c r="M184" i="4"/>
  <c r="L184" i="4"/>
  <c r="M199" i="4"/>
  <c r="L199" i="4"/>
  <c r="M222" i="4"/>
  <c r="L222" i="4"/>
  <c r="M126" i="4"/>
  <c r="L126" i="4"/>
  <c r="M264" i="4"/>
  <c r="L264" i="4"/>
  <c r="M21" i="4"/>
  <c r="L21" i="4"/>
  <c r="M61" i="4"/>
  <c r="L61" i="4"/>
  <c r="M113" i="4"/>
  <c r="L113" i="4"/>
  <c r="M175" i="4"/>
  <c r="L175" i="4"/>
  <c r="M236" i="4"/>
  <c r="L236" i="4"/>
  <c r="M121" i="4"/>
  <c r="L121" i="4"/>
  <c r="M260" i="4"/>
  <c r="L260" i="4"/>
  <c r="M9" i="4"/>
  <c r="L9" i="4"/>
  <c r="M4" i="4"/>
  <c r="L4" i="4"/>
  <c r="M19" i="4"/>
  <c r="L19" i="4"/>
  <c r="M147" i="4"/>
  <c r="L147" i="4"/>
  <c r="M257" i="4"/>
  <c r="L257" i="4"/>
  <c r="M3" i="4"/>
  <c r="L3" i="4"/>
  <c r="M18" i="4"/>
  <c r="L18" i="4"/>
  <c r="M56" i="4"/>
  <c r="L56" i="4"/>
  <c r="M42" i="4"/>
  <c r="L42" i="4"/>
  <c r="M171" i="4"/>
  <c r="L171" i="4"/>
  <c r="M133" i="4"/>
  <c r="L133" i="4"/>
  <c r="M159" i="4"/>
  <c r="L159" i="4"/>
  <c r="K223" i="4"/>
  <c r="K101" i="4"/>
  <c r="K79" i="4"/>
  <c r="A9" i="7"/>
  <c r="F13" i="6"/>
  <c r="H13" i="6" s="1"/>
  <c r="J12" i="5"/>
  <c r="K119" i="4"/>
  <c r="K68" i="4"/>
  <c r="A61" i="7"/>
  <c r="F65" i="6"/>
  <c r="H65" i="6" s="1"/>
  <c r="J64" i="5"/>
  <c r="K273" i="4"/>
  <c r="K91" i="4"/>
  <c r="K55" i="4"/>
  <c r="A26" i="7"/>
  <c r="F30" i="6"/>
  <c r="H30" i="6" s="1"/>
  <c r="J29" i="5"/>
  <c r="K66" i="4"/>
  <c r="K17" i="4"/>
  <c r="F57" i="6"/>
  <c r="H57" i="6" s="1"/>
  <c r="A53" i="7"/>
  <c r="J56" i="5"/>
  <c r="K178" i="4"/>
  <c r="K65" i="4"/>
  <c r="K16" i="4"/>
  <c r="F52" i="6"/>
  <c r="H52" i="6" s="1"/>
  <c r="A48" i="7"/>
  <c r="J51" i="5"/>
  <c r="K276" i="4"/>
  <c r="K267" i="4"/>
  <c r="K252" i="4"/>
  <c r="K244" i="4"/>
  <c r="K145" i="4"/>
  <c r="K124" i="4"/>
  <c r="K28" i="4"/>
  <c r="K227" i="4"/>
  <c r="K216" i="4"/>
  <c r="K155" i="4"/>
  <c r="K204" i="4"/>
  <c r="K189" i="4"/>
  <c r="K180" i="4"/>
  <c r="K168" i="4"/>
  <c r="K115" i="4"/>
  <c r="K100" i="4"/>
  <c r="K89" i="4"/>
  <c r="K77" i="4"/>
  <c r="K67" i="4"/>
  <c r="K53" i="4"/>
  <c r="K40" i="4"/>
  <c r="K15" i="4"/>
  <c r="A40" i="7"/>
  <c r="F44" i="6"/>
  <c r="H44" i="6" s="1"/>
  <c r="J43" i="5"/>
  <c r="K255" i="4"/>
  <c r="K190" i="4"/>
  <c r="K103" i="4"/>
  <c r="K14" i="4"/>
  <c r="A13" i="7"/>
  <c r="F17" i="6"/>
  <c r="H17" i="6" s="1"/>
  <c r="J16" i="5"/>
  <c r="K271" i="4"/>
  <c r="K268" i="4"/>
  <c r="K254" i="4"/>
  <c r="K228" i="4"/>
  <c r="K217" i="4"/>
  <c r="K128" i="4"/>
  <c r="K117" i="4"/>
  <c r="K45" i="4"/>
  <c r="K29" i="4"/>
  <c r="K205" i="4"/>
  <c r="K191" i="4"/>
  <c r="K102" i="4"/>
  <c r="K84" i="4"/>
  <c r="K71" i="4"/>
  <c r="K13" i="4"/>
  <c r="A12" i="7"/>
  <c r="F16" i="6"/>
  <c r="H16" i="6" s="1"/>
  <c r="J15" i="5"/>
  <c r="K256" i="4"/>
  <c r="K116" i="4"/>
  <c r="K229" i="4"/>
  <c r="K218" i="4"/>
  <c r="K41" i="4"/>
  <c r="K206" i="4"/>
  <c r="K192" i="4"/>
  <c r="K130" i="4"/>
  <c r="K90" i="4"/>
  <c r="K78" i="4"/>
  <c r="K54" i="4"/>
  <c r="K12" i="4"/>
  <c r="A10" i="7"/>
  <c r="F14" i="6"/>
  <c r="H14" i="6" s="1"/>
  <c r="J13" i="5"/>
  <c r="K129" i="4"/>
  <c r="K11" i="4"/>
  <c r="A14" i="7"/>
  <c r="F18" i="6"/>
  <c r="H18" i="6" s="1"/>
  <c r="J17" i="5"/>
  <c r="K275" i="4"/>
  <c r="K266" i="4"/>
  <c r="K243" i="4"/>
  <c r="K156" i="4"/>
  <c r="K226" i="4"/>
  <c r="K215" i="4"/>
  <c r="K167" i="4"/>
  <c r="K131" i="4"/>
  <c r="K27" i="4"/>
  <c r="K203" i="4"/>
  <c r="K188" i="4"/>
  <c r="K179" i="4"/>
  <c r="K144" i="4"/>
  <c r="K39" i="4"/>
  <c r="K114" i="4"/>
  <c r="K99" i="4"/>
  <c r="K88" i="4"/>
  <c r="K76" i="4"/>
  <c r="K52" i="4"/>
  <c r="K10" i="4"/>
  <c r="A46" i="7"/>
  <c r="F50" i="6"/>
  <c r="H50" i="6" s="1"/>
  <c r="J49" i="5"/>
  <c r="A50" i="7"/>
  <c r="K278" i="4"/>
  <c r="K261" i="4"/>
  <c r="K247" i="4"/>
  <c r="K162" i="4"/>
  <c r="K235" i="4"/>
  <c r="K211" i="4"/>
  <c r="K146" i="4"/>
  <c r="K122" i="4"/>
  <c r="K198" i="4"/>
  <c r="K174" i="4"/>
  <c r="K25" i="4"/>
  <c r="K107" i="4"/>
  <c r="K95" i="4"/>
  <c r="K72" i="4"/>
  <c r="K60" i="4"/>
  <c r="K44" i="4"/>
  <c r="K33" i="4"/>
  <c r="K8" i="4"/>
  <c r="F54" i="6"/>
  <c r="H54" i="6" s="1"/>
  <c r="J53" i="5"/>
  <c r="K26" i="4"/>
  <c r="K234" i="4"/>
  <c r="K173" i="4"/>
  <c r="K108" i="4"/>
  <c r="K58" i="4"/>
  <c r="K47" i="4"/>
  <c r="K7" i="4"/>
  <c r="F32" i="6"/>
  <c r="H32" i="6" s="1"/>
  <c r="A28" i="7"/>
  <c r="J31" i="5"/>
  <c r="K233" i="4"/>
  <c r="K221" i="4"/>
  <c r="K210" i="4"/>
  <c r="K43" i="4"/>
  <c r="K197" i="4"/>
  <c r="K161" i="4"/>
  <c r="K94" i="4"/>
  <c r="K32" i="4"/>
  <c r="K82" i="4"/>
  <c r="K70" i="4"/>
  <c r="K6" i="4"/>
  <c r="F25" i="6"/>
  <c r="H25" i="6" s="1"/>
  <c r="A21" i="7"/>
  <c r="J24" i="5"/>
  <c r="K259" i="4"/>
  <c r="K246" i="4"/>
  <c r="K232" i="4"/>
  <c r="K220" i="4"/>
  <c r="K209" i="4"/>
  <c r="K31" i="4"/>
  <c r="K196" i="4"/>
  <c r="K183" i="4"/>
  <c r="K172" i="4"/>
  <c r="K160" i="4"/>
  <c r="K120" i="4"/>
  <c r="K106" i="4"/>
  <c r="K93" i="4"/>
  <c r="K81" i="4"/>
  <c r="K69" i="4"/>
  <c r="K57" i="4"/>
  <c r="K20" i="4"/>
  <c r="K5" i="4"/>
  <c r="A17" i="7"/>
  <c r="F21" i="6"/>
  <c r="H21" i="6" s="1"/>
  <c r="J20" i="5"/>
  <c r="C4" i="6" a="1"/>
  <c r="C4" i="6" s="1"/>
  <c r="C3" i="6"/>
  <c r="F9" i="1" s="1"/>
  <c r="M223" i="4" l="1"/>
  <c r="L223" i="4"/>
  <c r="M101" i="4"/>
  <c r="L101" i="4"/>
  <c r="M79" i="4"/>
  <c r="L79" i="4"/>
  <c r="M119" i="4"/>
  <c r="L119" i="4"/>
  <c r="M68" i="4"/>
  <c r="L68" i="4"/>
  <c r="M273" i="4"/>
  <c r="L273" i="4"/>
  <c r="M91" i="4"/>
  <c r="L91" i="4"/>
  <c r="M55" i="4"/>
  <c r="L55" i="4"/>
  <c r="M66" i="4"/>
  <c r="L66" i="4"/>
  <c r="M17" i="4"/>
  <c r="L17" i="4"/>
  <c r="M178" i="4"/>
  <c r="L178" i="4"/>
  <c r="M65" i="4"/>
  <c r="L65" i="4"/>
  <c r="M16" i="4"/>
  <c r="L16" i="4"/>
  <c r="M276" i="4"/>
  <c r="L276" i="4"/>
  <c r="M267" i="4"/>
  <c r="L267" i="4"/>
  <c r="M252" i="4"/>
  <c r="L252" i="4"/>
  <c r="M244" i="4"/>
  <c r="L244" i="4"/>
  <c r="M145" i="4"/>
  <c r="L145" i="4"/>
  <c r="M124" i="4"/>
  <c r="L124" i="4"/>
  <c r="M28" i="4"/>
  <c r="L28" i="4"/>
  <c r="M227" i="4"/>
  <c r="L227" i="4"/>
  <c r="M216" i="4"/>
  <c r="L216" i="4"/>
  <c r="M155" i="4"/>
  <c r="L155" i="4"/>
  <c r="M204" i="4"/>
  <c r="L204" i="4"/>
  <c r="M189" i="4"/>
  <c r="L189" i="4"/>
  <c r="M180" i="4"/>
  <c r="L180" i="4"/>
  <c r="M168" i="4"/>
  <c r="L168" i="4"/>
  <c r="M115" i="4"/>
  <c r="L115" i="4"/>
  <c r="M100" i="4"/>
  <c r="L100" i="4"/>
  <c r="M89" i="4"/>
  <c r="L89" i="4"/>
  <c r="M77" i="4"/>
  <c r="L77" i="4"/>
  <c r="M67" i="4"/>
  <c r="L67" i="4"/>
  <c r="M53" i="4"/>
  <c r="L53" i="4"/>
  <c r="M40" i="4"/>
  <c r="L40" i="4"/>
  <c r="M15" i="4"/>
  <c r="L15" i="4"/>
  <c r="M255" i="4"/>
  <c r="L255" i="4"/>
  <c r="M190" i="4"/>
  <c r="L190" i="4"/>
  <c r="M103" i="4"/>
  <c r="L103" i="4"/>
  <c r="M14" i="4"/>
  <c r="L14" i="4"/>
  <c r="M271" i="4"/>
  <c r="L271" i="4"/>
  <c r="M268" i="4"/>
  <c r="L268" i="4"/>
  <c r="M254" i="4"/>
  <c r="L254" i="4"/>
  <c r="M228" i="4"/>
  <c r="L228" i="4"/>
  <c r="M217" i="4"/>
  <c r="L217" i="4"/>
  <c r="M128" i="4"/>
  <c r="L128" i="4"/>
  <c r="M117" i="4"/>
  <c r="L117" i="4"/>
  <c r="M45" i="4"/>
  <c r="L45" i="4"/>
  <c r="M29" i="4"/>
  <c r="L29" i="4"/>
  <c r="M205" i="4"/>
  <c r="L205" i="4"/>
  <c r="M191" i="4"/>
  <c r="L191" i="4"/>
  <c r="M102" i="4"/>
  <c r="L102" i="4"/>
  <c r="M84" i="4"/>
  <c r="L84" i="4"/>
  <c r="M71" i="4"/>
  <c r="L71" i="4"/>
  <c r="M13" i="4"/>
  <c r="L13" i="4"/>
  <c r="M256" i="4"/>
  <c r="L256" i="4"/>
  <c r="M116" i="4"/>
  <c r="L116" i="4"/>
  <c r="M229" i="4"/>
  <c r="L229" i="4"/>
  <c r="M218" i="4"/>
  <c r="L218" i="4"/>
  <c r="M41" i="4"/>
  <c r="L41" i="4"/>
  <c r="M206" i="4"/>
  <c r="L206" i="4"/>
  <c r="M192" i="4"/>
  <c r="L192" i="4"/>
  <c r="M130" i="4"/>
  <c r="L130" i="4"/>
  <c r="M90" i="4"/>
  <c r="L90" i="4"/>
  <c r="M78" i="4"/>
  <c r="L78" i="4"/>
  <c r="M54" i="4"/>
  <c r="L54" i="4"/>
  <c r="M12" i="4"/>
  <c r="L12" i="4"/>
  <c r="M129" i="4"/>
  <c r="L129" i="4"/>
  <c r="M11" i="4"/>
  <c r="L11" i="4"/>
  <c r="M275" i="4"/>
  <c r="L275" i="4"/>
  <c r="M266" i="4"/>
  <c r="L266" i="4"/>
  <c r="M243" i="4"/>
  <c r="L243" i="4"/>
  <c r="M156" i="4"/>
  <c r="L156" i="4"/>
  <c r="M226" i="4"/>
  <c r="L226" i="4"/>
  <c r="M215" i="4"/>
  <c r="L215" i="4"/>
  <c r="M167" i="4"/>
  <c r="L167" i="4"/>
  <c r="M131" i="4"/>
  <c r="L131" i="4"/>
  <c r="M27" i="4"/>
  <c r="L27" i="4"/>
  <c r="M203" i="4"/>
  <c r="L203" i="4"/>
  <c r="M188" i="4"/>
  <c r="L188" i="4"/>
  <c r="M179" i="4"/>
  <c r="L179" i="4"/>
  <c r="M144" i="4"/>
  <c r="L144" i="4"/>
  <c r="M39" i="4"/>
  <c r="L39" i="4"/>
  <c r="M114" i="4"/>
  <c r="L114" i="4"/>
  <c r="M99" i="4"/>
  <c r="L99" i="4"/>
  <c r="M88" i="4"/>
  <c r="L88" i="4"/>
  <c r="M76" i="4"/>
  <c r="L76" i="4"/>
  <c r="M52" i="4"/>
  <c r="L52" i="4"/>
  <c r="M10" i="4"/>
  <c r="L10" i="4"/>
  <c r="M278" i="4"/>
  <c r="L278" i="4"/>
  <c r="M261" i="4"/>
  <c r="L261" i="4"/>
  <c r="M247" i="4"/>
  <c r="L247" i="4"/>
  <c r="M162" i="4"/>
  <c r="L162" i="4"/>
  <c r="M235" i="4"/>
  <c r="L235" i="4"/>
  <c r="M211" i="4"/>
  <c r="L211" i="4"/>
  <c r="M146" i="4"/>
  <c r="L146" i="4"/>
  <c r="M122" i="4"/>
  <c r="L122" i="4"/>
  <c r="M198" i="4"/>
  <c r="L198" i="4"/>
  <c r="M174" i="4"/>
  <c r="L174" i="4"/>
  <c r="M25" i="4"/>
  <c r="L25" i="4"/>
  <c r="M107" i="4"/>
  <c r="L107" i="4"/>
  <c r="M95" i="4"/>
  <c r="L95" i="4"/>
  <c r="M72" i="4"/>
  <c r="L72" i="4"/>
  <c r="M60" i="4"/>
  <c r="L60" i="4"/>
  <c r="M44" i="4"/>
  <c r="L44" i="4"/>
  <c r="M33" i="4"/>
  <c r="L33" i="4"/>
  <c r="M8" i="4"/>
  <c r="L8" i="4"/>
  <c r="M26" i="4"/>
  <c r="L26" i="4"/>
  <c r="M234" i="4"/>
  <c r="L234" i="4"/>
  <c r="M173" i="4"/>
  <c r="L173" i="4"/>
  <c r="M108" i="4"/>
  <c r="L108" i="4"/>
  <c r="M58" i="4"/>
  <c r="L58" i="4"/>
  <c r="M47" i="4"/>
  <c r="L47" i="4"/>
  <c r="M7" i="4"/>
  <c r="L7" i="4"/>
  <c r="M233" i="4"/>
  <c r="L233" i="4"/>
  <c r="M221" i="4"/>
  <c r="L221" i="4"/>
  <c r="M210" i="4"/>
  <c r="L210" i="4"/>
  <c r="M43" i="4"/>
  <c r="L43" i="4"/>
  <c r="M197" i="4"/>
  <c r="L197" i="4"/>
  <c r="M161" i="4"/>
  <c r="L161" i="4"/>
  <c r="M94" i="4"/>
  <c r="L94" i="4"/>
  <c r="M32" i="4"/>
  <c r="L32" i="4"/>
  <c r="M82" i="4"/>
  <c r="L82" i="4"/>
  <c r="M70" i="4"/>
  <c r="L70" i="4"/>
  <c r="M6" i="4"/>
  <c r="L6" i="4"/>
  <c r="M259" i="4"/>
  <c r="L259" i="4"/>
  <c r="M246" i="4"/>
  <c r="L246" i="4"/>
  <c r="M232" i="4"/>
  <c r="L232" i="4"/>
  <c r="M220" i="4"/>
  <c r="L220" i="4"/>
  <c r="M209" i="4"/>
  <c r="L209" i="4"/>
  <c r="M31" i="4"/>
  <c r="L31" i="4"/>
  <c r="M196" i="4"/>
  <c r="L196" i="4"/>
  <c r="M19" i="7" s="1"/>
  <c r="N19" i="7" s="1"/>
  <c r="M183" i="4"/>
  <c r="L183" i="4"/>
  <c r="M172" i="4"/>
  <c r="L172" i="4"/>
  <c r="M160" i="4"/>
  <c r="L160" i="4"/>
  <c r="M120" i="4"/>
  <c r="L120" i="4"/>
  <c r="M106" i="4"/>
  <c r="L106" i="4"/>
  <c r="M93" i="4"/>
  <c r="L93" i="4"/>
  <c r="M11" i="7" s="1"/>
  <c r="N11" i="7" s="1"/>
  <c r="M81" i="4"/>
  <c r="L81" i="4"/>
  <c r="M10" i="7" s="1"/>
  <c r="N10" i="7" s="1"/>
  <c r="M69" i="4"/>
  <c r="L69" i="4"/>
  <c r="M57" i="4"/>
  <c r="L57" i="4"/>
  <c r="M8" i="7" s="1"/>
  <c r="N8" i="7" s="1"/>
  <c r="M20" i="4"/>
  <c r="L20" i="4"/>
  <c r="M5" i="7" s="1"/>
  <c r="N5" i="7" s="1"/>
  <c r="M5" i="4"/>
  <c r="L5" i="4"/>
  <c r="M4" i="7" s="1"/>
  <c r="M22" i="7"/>
  <c r="N22" i="7" s="1"/>
  <c r="M14" i="7"/>
  <c r="N14" i="7" s="1"/>
  <c r="M15" i="7"/>
  <c r="N15" i="7" s="1"/>
  <c r="M17" i="7"/>
  <c r="N17" i="7" s="1"/>
  <c r="M18" i="7"/>
  <c r="N18" i="7" s="1"/>
  <c r="M16" i="7"/>
  <c r="N16" i="7" s="1"/>
  <c r="N4" i="7" l="1"/>
  <c r="M25" i="7"/>
  <c r="N25" i="7" s="1"/>
  <c r="M7" i="7"/>
  <c r="N7" i="7" s="1"/>
  <c r="M24" i="7"/>
  <c r="N24" i="7" s="1"/>
  <c r="M23" i="7"/>
  <c r="N23" i="7" s="1"/>
  <c r="M21" i="7"/>
  <c r="N21" i="7" s="1"/>
  <c r="M20" i="7"/>
  <c r="N20" i="7" s="1"/>
  <c r="M6" i="7"/>
  <c r="M12" i="7"/>
  <c r="N12" i="7" s="1"/>
  <c r="M13" i="7"/>
  <c r="N13" i="7" s="1"/>
  <c r="M9" i="7"/>
  <c r="N9" i="7" s="1"/>
  <c r="N6" i="7" l="1"/>
  <c r="C23" i="1" s="1"/>
  <c r="F8" i="1"/>
  <c r="E5" i="7" l="1"/>
  <c r="G5" i="7" s="1"/>
  <c r="E19" i="7"/>
  <c r="C18" i="1"/>
  <c r="C21" i="1"/>
  <c r="E7" i="7"/>
  <c r="E10" i="7"/>
  <c r="E12" i="7"/>
  <c r="E15" i="7"/>
  <c r="E17" i="7"/>
  <c r="E25" i="7"/>
  <c r="C15" i="1"/>
  <c r="E22" i="7"/>
  <c r="C17" i="1"/>
  <c r="C19" i="1"/>
  <c r="C22" i="1"/>
  <c r="C24" i="1"/>
  <c r="E6" i="7"/>
  <c r="E8" i="7"/>
  <c r="E9" i="7"/>
  <c r="E11" i="7"/>
  <c r="E13" i="7"/>
  <c r="E14" i="7"/>
  <c r="E16" i="7"/>
  <c r="E18" i="7"/>
  <c r="E23" i="7"/>
  <c r="E21" i="7"/>
  <c r="E20" i="7"/>
  <c r="E24" i="7"/>
  <c r="C16" i="1"/>
  <c r="C20" i="1"/>
  <c r="E4" i="7"/>
  <c r="F5" i="7"/>
  <c r="H5" i="7" a="1"/>
  <c r="H5" i="7" s="1"/>
  <c r="F6" i="7"/>
  <c r="G6" i="7"/>
  <c r="H6" i="7" a="1"/>
  <c r="H6" i="7" s="1"/>
  <c r="D23" i="1"/>
  <c r="F23" i="1"/>
  <c r="G23" i="1"/>
  <c r="H23" i="1"/>
  <c r="G19" i="7" l="1"/>
  <c r="F19" i="7"/>
  <c r="H19" i="7" a="1"/>
  <c r="H19" i="7" s="1"/>
  <c r="H18" i="1"/>
  <c r="G18" i="1"/>
  <c r="F18" i="1"/>
  <c r="D18" i="1"/>
  <c r="D21" i="1"/>
  <c r="G21" i="1"/>
  <c r="H21" i="1"/>
  <c r="F21" i="1"/>
  <c r="F7" i="7"/>
  <c r="G7" i="7"/>
  <c r="H7" i="7" a="1"/>
  <c r="H7" i="7" s="1"/>
  <c r="F10" i="7"/>
  <c r="G10" i="7"/>
  <c r="H10" i="7" a="1"/>
  <c r="H10" i="7" s="1"/>
  <c r="F12" i="7"/>
  <c r="G12" i="7"/>
  <c r="H12" i="7" a="1"/>
  <c r="H12" i="7" s="1"/>
  <c r="G15" i="7"/>
  <c r="H15" i="7" a="1"/>
  <c r="H15" i="7" s="1"/>
  <c r="F15" i="7"/>
  <c r="F17" i="7"/>
  <c r="G17" i="7"/>
  <c r="H17" i="7" a="1"/>
  <c r="H17" i="7" s="1"/>
  <c r="F25" i="7"/>
  <c r="G25" i="7"/>
  <c r="H25" i="7" a="1"/>
  <c r="H25" i="7" s="1"/>
  <c r="D15" i="1"/>
  <c r="F15" i="1"/>
  <c r="G15" i="1"/>
  <c r="H15" i="1"/>
  <c r="F22" i="7"/>
  <c r="G22" i="7"/>
  <c r="H22" i="7" a="1"/>
  <c r="H22" i="7" s="1"/>
  <c r="G17" i="1"/>
  <c r="F17" i="1"/>
  <c r="D17" i="1"/>
  <c r="H17" i="1"/>
  <c r="H19" i="1"/>
  <c r="G19" i="1"/>
  <c r="F19" i="1"/>
  <c r="D19" i="1"/>
  <c r="H22" i="1"/>
  <c r="G22" i="1"/>
  <c r="D22" i="1"/>
  <c r="F22" i="1"/>
  <c r="H24" i="1"/>
  <c r="G24" i="1"/>
  <c r="F24" i="1"/>
  <c r="D24" i="1"/>
  <c r="G8" i="7"/>
  <c r="H8" i="7" a="1"/>
  <c r="H8" i="7" s="1"/>
  <c r="F8" i="7"/>
  <c r="F9" i="7"/>
  <c r="G9" i="7"/>
  <c r="H9" i="7" a="1"/>
  <c r="H9" i="7" s="1"/>
  <c r="G11" i="7"/>
  <c r="H11" i="7" a="1"/>
  <c r="H11" i="7" s="1"/>
  <c r="F11" i="7"/>
  <c r="G13" i="7"/>
  <c r="F13" i="7"/>
  <c r="H13" i="7" a="1"/>
  <c r="H13" i="7" s="1"/>
  <c r="F14" i="7"/>
  <c r="G14" i="7"/>
  <c r="H14" i="7" a="1"/>
  <c r="H14" i="7" s="1"/>
  <c r="F16" i="7"/>
  <c r="G16" i="7"/>
  <c r="H16" i="7" a="1"/>
  <c r="H16" i="7" s="1"/>
  <c r="F18" i="7"/>
  <c r="H18" i="7" a="1"/>
  <c r="H18" i="7" s="1"/>
  <c r="G18" i="7"/>
  <c r="G23" i="7"/>
  <c r="F23" i="7"/>
  <c r="H23" i="7" a="1"/>
  <c r="H23" i="7" s="1"/>
  <c r="F21" i="7"/>
  <c r="G21" i="7"/>
  <c r="H21" i="7" a="1"/>
  <c r="H21" i="7" s="1"/>
  <c r="F20" i="7"/>
  <c r="G20" i="7"/>
  <c r="H20" i="7" a="1"/>
  <c r="H20" i="7" s="1"/>
  <c r="H24" i="7" a="1"/>
  <c r="H24" i="7" s="1"/>
  <c r="G24" i="7"/>
  <c r="F24" i="7"/>
  <c r="D16" i="1"/>
  <c r="F16" i="1"/>
  <c r="G16" i="1"/>
  <c r="H16" i="1"/>
  <c r="F20" i="1"/>
  <c r="G20" i="1"/>
  <c r="H20" i="1"/>
  <c r="D20" i="1"/>
  <c r="F4" i="7"/>
  <c r="F11" i="1" s="1"/>
  <c r="G4" i="7"/>
  <c r="H4" i="7" a="1"/>
  <c r="H4" i="7" s="1"/>
</calcChain>
</file>

<file path=xl/sharedStrings.xml><?xml version="1.0" encoding="utf-8"?>
<sst xmlns="http://schemas.openxmlformats.org/spreadsheetml/2006/main" count="2039" uniqueCount="327">
  <si>
    <t>Noor's Kitchen Planner</t>
  </si>
  <si>
    <t>20 beloved Pakistani dishes, one clever spreadsheet. Happy cooking!</t>
  </si>
  <si>
    <t>Cooking for how many people?</t>
  </si>
  <si>
    <t>&lt;- every quantity, match % and shopping amount rescales instantly</t>
  </si>
  <si>
    <t>Live Kitchen Dashboard</t>
  </si>
  <si>
    <t>Meals ready right now (100% match):</t>
  </si>
  <si>
    <t>Items to buy this week:</t>
  </si>
  <si>
    <t>Meals logged in the Cook Log:</t>
  </si>
  <si>
    <t>Tonight's best match:</t>
  </si>
  <si>
    <t>Top 10 - Best Matches Tonight (click to open the recipe)</t>
  </si>
  <si>
    <t>Rank</t>
  </si>
  <si>
    <t>ID</t>
  </si>
  <si>
    <t>Dish</t>
  </si>
  <si>
    <t>Match %</t>
  </si>
  <si>
    <t>Video</t>
  </si>
  <si>
    <t>Recipe</t>
  </si>
  <si>
    <t>Cook Log - what did you cook?</t>
  </si>
  <si>
    <t>(all dropdowns - pantry deducts the exact scaled amounts instantly)</t>
  </si>
  <si>
    <t>Date</t>
  </si>
  <si>
    <t>Meal</t>
  </si>
  <si>
    <t>People fed</t>
  </si>
  <si>
    <t>How it works</t>
  </si>
  <si>
    <t>1. Set how many people you're cooking for (yellow box above) - everything rescales: recipe card amounts, availability, match % and dish shopping lists.</t>
  </si>
  <si>
    <t>2. Cooked something? Log it above: dish, date, meal, people fed - all dropdowns. The Pantry deducts the exact scaled quantities automatically.</t>
  </si>
  <si>
    <t>3. RECIPES tab: search box with instant preview; every dish has a Video and a Written recipe column (best-rated Food Fusion versions).</t>
  </si>
  <si>
    <t>4. RECIPE CARD tab: pick a dish, see exactly what you need for your party size, what's in the pantry, and what to buy - with one-click video/recipe links.</t>
  </si>
  <si>
    <t>5. PANTRY tab: dish-check panel tells you instantly if you can cook a dish; photo entry = send a fridge/grocery photo to Claude, type in what it reads out.</t>
  </si>
  <si>
    <t>6. SHOPPING LIST tab: auto-aggregated by aisle with Islamabad store suggestions; 'Shop for a dish' panel lists exactly what a single dish needs.</t>
  </si>
  <si>
    <t>7. Checkboxes everywhere: click the cell, pick the ticked box from the dropdown. On Excel 365 you can also use Insert &gt; Checkbox.</t>
  </si>
  <si>
    <t>Keep ingredient names exactly as written (e.g. Ginger_Garlic_Paste) - automation matches on names.</t>
  </si>
  <si>
    <t>R001</t>
  </si>
  <si>
    <t>Chicken Biryani (Extreme)</t>
  </si>
  <si>
    <t>https://foodfusion.com/recipe/extreme-chicken-biryani/</t>
  </si>
  <si>
    <t>https://www.youtube.com/watch?v=40VJanswaAQ</t>
  </si>
  <si>
    <t>Breakfast</t>
  </si>
  <si>
    <t>R002</t>
  </si>
  <si>
    <t>Chicken Yakhni Pulao</t>
  </si>
  <si>
    <t>https://foodfusion.com/recipe/chicken-yakhni-pulao/</t>
  </si>
  <si>
    <t>https://www.youtube.com/watch?v=QaZWOGs82Nw</t>
  </si>
  <si>
    <t>Lunch</t>
  </si>
  <si>
    <t>R003</t>
  </si>
  <si>
    <t>Red Beans (Lal Lobia Masala)</t>
  </si>
  <si>
    <t>https://foodfusion.com/recipe/lal-lobia-masala/</t>
  </si>
  <si>
    <t>https://www.youtube.com/watch?v=mFfYhYCzyVg</t>
  </si>
  <si>
    <t>Dinner</t>
  </si>
  <si>
    <t>R004</t>
  </si>
  <si>
    <t>Chicken Karahi (Fire)</t>
  </si>
  <si>
    <t>https://foodfusion.com/recipe/fire-chicken-karahi/</t>
  </si>
  <si>
    <t>https://www.youtube.com/watch?v=T3pQmbC1GW4</t>
  </si>
  <si>
    <t>Chai / Snack</t>
  </si>
  <si>
    <t>R005</t>
  </si>
  <si>
    <t>Chicken Qorma</t>
  </si>
  <si>
    <t>https://www.foodfusion.com/recipe/chicken-korma/</t>
  </si>
  <si>
    <t>https://www.youtube.com/watch?v=9jOH3TEB-NI</t>
  </si>
  <si>
    <t>R006a</t>
  </si>
  <si>
    <t>Daal Chana (Masala)</t>
  </si>
  <si>
    <t>https://www.foodfusion.com/recipe/masala-chana-daal/</t>
  </si>
  <si>
    <t>https://www.youtube.com/watch?v=72Sy9j7DLVk</t>
  </si>
  <si>
    <t>R006b</t>
  </si>
  <si>
    <t>Daal Mash with Tadka</t>
  </si>
  <si>
    <t>https://www.foodfusion.com/recipe/mash-daal-with-tadka/</t>
  </si>
  <si>
    <t>https://www.youtube.com/watch?v=iyO-3eD_fs8</t>
  </si>
  <si>
    <t>R006c</t>
  </si>
  <si>
    <t>Daal Masoor (Malka)</t>
  </si>
  <si>
    <t>https://www.foodfusion.com/recipe/malka-masoor-daal-with-quick-achaar/</t>
  </si>
  <si>
    <t>https://www.youtube.com/watch?v=s1rA4kd1Wfg</t>
  </si>
  <si>
    <t>R007</t>
  </si>
  <si>
    <t>Beef Salan (Aloo Gosht, Delhi)</t>
  </si>
  <si>
    <t>https://www.foodfusion.com/recipe/aloo-ghosht-delhi-style-recipe/</t>
  </si>
  <si>
    <t>https://www.youtube.com/watch?v=cbzmggwKZbw</t>
  </si>
  <si>
    <t>R008</t>
  </si>
  <si>
    <t>Shami Kabab</t>
  </si>
  <si>
    <t>https://www.foodfusion.com/recipe/shami-kabab-recipe/</t>
  </si>
  <si>
    <t>https://www.youtube.com/watch?v=vhXMVKd1OGI</t>
  </si>
  <si>
    <t>R009</t>
  </si>
  <si>
    <t>Chicken Manchurian</t>
  </si>
  <si>
    <t>https://www.foodfusion.com/recipe/chicken-manchurian/</t>
  </si>
  <si>
    <t>https://www.youtube.com/watch?v=WM-i9wGT4zk</t>
  </si>
  <si>
    <t>R010</t>
  </si>
  <si>
    <t>Chinese Fried Rice</t>
  </si>
  <si>
    <t>https://www.foodfusion.com/recipe/chinese-fried-rice/</t>
  </si>
  <si>
    <t>https://www.youtube.com/watch?v=P2tIt4bZNmI</t>
  </si>
  <si>
    <t>R011</t>
  </si>
  <si>
    <t>One Pot Spicy Pasta</t>
  </si>
  <si>
    <t>https://foodfusion.com/recipe/one-pot-spicy-pasta/</t>
  </si>
  <si>
    <t>https://www.youtube.com/watch?v=a6nYTLyi6sU</t>
  </si>
  <si>
    <t>R012</t>
  </si>
  <si>
    <t>Chicken Macaroni (Korma-style)</t>
  </si>
  <si>
    <t>https://www.foodfusion.com/recipe/chicken-korma-masala/</t>
  </si>
  <si>
    <t>https://www.youtube.com/watch?v=1epkIJdJCds</t>
  </si>
  <si>
    <t>R013</t>
  </si>
  <si>
    <t>Bhindi (Masala Aloo Bhindi)</t>
  </si>
  <si>
    <t>https://foodfusion.com/recipe/masala-aloo-bhindi/</t>
  </si>
  <si>
    <t>https://www.youtube.com/watch?v=NZwQExS8u9k</t>
  </si>
  <si>
    <t>R014</t>
  </si>
  <si>
    <t>Gobi Masala (Dhaba Style)</t>
  </si>
  <si>
    <t>https://foodfusion.com/recipe/dhaba-style-mix-vegetable/</t>
  </si>
  <si>
    <t>https://www.youtube.com/watch?v=L7LXJ7FiRPA</t>
  </si>
  <si>
    <t>R015</t>
  </si>
  <si>
    <t>Karela (Qeema Karelay)</t>
  </si>
  <si>
    <t>https://www.foodfusion.com/recipe/qeema-karaley/</t>
  </si>
  <si>
    <t>https://www.youtube.com/watch?v=C2p7idVXhE8</t>
  </si>
  <si>
    <t>R016</t>
  </si>
  <si>
    <t>Aalu (Masala Aloo)</t>
  </si>
  <si>
    <t>https://www.foodfusion.com/recipe/masala-aloo-recipe/</t>
  </si>
  <si>
    <t>https://www.youtube.com/watch?v=cwps_0u-vPQ</t>
  </si>
  <si>
    <t>R017</t>
  </si>
  <si>
    <t>Qeema (Dhaba Style Aloo Qeema)</t>
  </si>
  <si>
    <t>https://foodfusion.com/recipe/dhaba-style-aloo-qeema/</t>
  </si>
  <si>
    <t>https://www.youtube.com/shorts/qVQCbXiU7_A</t>
  </si>
  <si>
    <t>R018</t>
  </si>
  <si>
    <t>Beef Nihari</t>
  </si>
  <si>
    <t>https://www.foodfusion.com/recipe/perfect-beef-nihari-recipe/</t>
  </si>
  <si>
    <t>https://www.youtube.com/watch?v=mZOXDAvMCM4</t>
  </si>
  <si>
    <t>R019</t>
  </si>
  <si>
    <t>Khichri (Spicy Fried Khichdi)</t>
  </si>
  <si>
    <t>https://www.foodfusion.com/recipe/spicy-fried-khichdi-recipe/</t>
  </si>
  <si>
    <t>https://www.youtube.com/watch?v=H71MWbyhO0E</t>
  </si>
  <si>
    <t>R020</t>
  </si>
  <si>
    <t>Saag (Sarson Ka Saag)</t>
  </si>
  <si>
    <t>https://www.foodfusion.com/recipe/sarson-ka-saag-recipe/</t>
  </si>
  <si>
    <t>https://www.youtube.com/watch?v=XH2_pWrguvI</t>
  </si>
  <si>
    <t>Recipes - 20 Pakistani Classics</t>
  </si>
  <si>
    <t>Pick a dish in the yellow search box for an instant preview, or browse the table. Video and written recipe are one click away.</t>
  </si>
  <si>
    <t>Find a recipe:</t>
  </si>
  <si>
    <t>Recipe_ID</t>
  </si>
  <si>
    <t>Recipe_Name</t>
  </si>
  <si>
    <t>Serves (persons)</t>
  </si>
  <si>
    <t>Prep/Cook Time</t>
  </si>
  <si>
    <t>Video Recipe</t>
  </si>
  <si>
    <t>Written Recipe</t>
  </si>
  <si>
    <t>Full Ingredient List</t>
  </si>
  <si>
    <t>Notes</t>
  </si>
  <si>
    <t>1 hr 15 min</t>
  </si>
  <si>
    <t>&gt; Watch video</t>
  </si>
  <si>
    <t>Read recipe</t>
  </si>
  <si>
    <t>Chicken - 1 kg
Basmati Rice - 0.75 kg
Onion - 3 unit
Tomato - 3 unit
Yogurt - 1 cup
Ginger Garlic Paste - 2 tbsp
Biryani Masala - 3 tbsp
Cooking Oil - 1 cup
Mint - 1 bunch
Fresh Coriander - 1 bunch
Green Chilli - 6 unit
Lemon - 1 unit
Salt - 2 tsp
Fried Onion - 1 cup
Kewra Water - 1 tsp</t>
  </si>
  <si>
    <t>Medium-hot, layered dum biryani. Use aged basmati; kewra at the end.</t>
  </si>
  <si>
    <t>1 hr</t>
  </si>
  <si>
    <t>Chicken - 1 kg
Basmati Rice - 0.75 kg
Onion - 2 unit
Whole Spices Mix - 2 tbsp
Cumin Seeds - 2 tsp
Coriander Seeds - 2 tsp
Fennel Seeds - 2 tsp
Ginger Garlic Paste - 2 tbsp
Yogurt - 0.5 cup
Cooking Oil - 0.75 cup
Salt - 2 tsp
Green Chilli - 4 unit</t>
  </si>
  <si>
    <t>Mild, whole-spice yakhni. Strain stock well for clear grains.</t>
  </si>
  <si>
    <t>1 hr 10 min</t>
  </si>
  <si>
    <t>Red Kidney Beans - 375 g
Onion - 2 unit
Tomato - 3 unit
Ginger Garlic Paste - 1.5 tbsp
Red Chilli Powder - 2 tsp
Turmeric Powder - 0.5 tsp
Coriander Powder - 2 tsp
Cumin Seeds - 1 tsp
Garam Masala Powder - 1 tsp
Cooking Oil - 0.5 cup
Salt - 1.5 tsp
Fresh Coriander - 0.5 bunch</t>
  </si>
  <si>
    <t>Soak beans overnight; boil 45-50 min until tender. Protein-packed.</t>
  </si>
  <si>
    <t>45 min</t>
  </si>
  <si>
    <t>Chicken - 1 kg
Tomato - 6 unit
Ginger Garlic Paste - 2 tbsp
Green Chilli - 8 unit
Ginger - 2 inch
Yogurt - 0.5 cup
Red Chilli Powder - 2 tsp
Black Pepper Powder - 1 tsp
Cumin Seeds - 2 tsp
Coriander Seeds - 2 tsp
Cooking Oil - 0.75 cup
Salt - 2 tsp
Fresh Coriander - 0.5 bunch
Butter - 2 tbsp</t>
  </si>
  <si>
    <t>Hot &amp; spicy. Authentic karahi = tomatoes and ginger, no onion.</t>
  </si>
  <si>
    <t>Chicken - 1 kg
Onion - 3 unit
Yogurt - 1 cup
Ghee - 6 tbsp
Ginger Garlic Paste - 2 tbsp
Whole Spices Mix - 2 tbsp
Red Chilli Powder - 2 tsp
Coriander Powder - 2 tsp
Garam Masala Powder - 1 tsp
Fried Onion - 0.5 cup
Kewra Water - 1 tsp
Salt - 2 tsp</t>
  </si>
  <si>
    <t>Shadi-style qorma; fried onion + kewra finish. Ghee makes it.</t>
  </si>
  <si>
    <t>50 min</t>
  </si>
  <si>
    <t>Chana Daal - 375 g
Onion - 1 unit
Tomato - 2 unit
Green Chilli - 3 unit
Ginger Garlic Paste - 1 tbsp
Cumin Seeds - 2 tsp
Red Chilli Powder - 1.5 tsp
Turmeric Powder - 0.5 tsp
Cooking Oil - 0.5 cup
Salt - 1.5 tsp
Fresh Coriander - 0.5 bunch
Curry Leaves - 2 sprig</t>
  </si>
  <si>
    <t>Soak 30 min. Finish with cumin + curry leaf tarka.</t>
  </si>
  <si>
    <t>Mash Daal - 300 g
Onion - 1 unit
Tomato - 1 unit
Ginger - 2 inch
Green Chilli - 3 unit
Cumin Seeds - 2 tsp
Red Chilli Powder - 1.5 tsp
Turmeric Powder - 0.5 tsp
Cooking Oil - 0.5 cup
Salt - 1.5 tsp
Fresh Coriander - 0.5 bunch
Butter - 2 tbsp</t>
  </si>
  <si>
    <t>Dry-style mash daal; ginger julienne + butter tadka on top.</t>
  </si>
  <si>
    <t>40 min</t>
  </si>
  <si>
    <t>Masoor Daal - 300 g
Onion - 1 unit
Tomato - 2 unit
Ginger Garlic Paste - 1 tbsp
Cumin Seeds - 1.5 tsp
Red Chilli Powder - 1.5 tsp
Turmeric Powder - 0.75 tsp
Cooking Oil - 0.5 cup
Salt - 1.5 tsp
Curry Leaves - 2 sprig
Green Chilli - 2 unit
Lemon - 1 unit</t>
  </si>
  <si>
    <t>Everyday comfort daal; squeeze of lemon lifts it.</t>
  </si>
  <si>
    <t>1 hr 30 min</t>
  </si>
  <si>
    <t>Beef Boneless - 0.75 kg
Potato - 4 unit
Onion - 3 unit
Ginger Garlic Paste - 2 tbsp
Yogurt - 0.5 cup
Red Chilli Powder - 2 tsp
Kashmiri Red Chilli Powder - 1 tsp
Turmeric Powder - 1 tsp
Coriander Powder - 2 tsp
Whole Spices Mix - 1 tbsp
Cooking Oil - 0.75 cup
Salt - 2 tsp
Fresh Coriander - 0.5 bunch
Green Chilli - 3 unit</t>
  </si>
  <si>
    <t>Classic shorba-wala salan; slow-cook beef till tender.</t>
  </si>
  <si>
    <t>Beef Mince - 0.5 kg
Chana Daal - 250 g
Onion - 1 unit
Whole Spices Mix - 2 tbsp
Ginger Garlic Paste - 2 tbsp
Turmeric Powder - 1 tsp
Salt - 2 tsp
Coriander Seeds - 2 tsp
Cumin Seeds - 2 tsp
Eggs - 2 unit
Green Chilli - 4 unit
Mint - 0.5 bunch
Fresh Coriander - 0.5 bunch
Cooking Oil - 0.5 cup
Red Chilli Powder - 2 tsp</t>
  </si>
  <si>
    <t>Makes 12-14; freeze extras. Wash daal, don't soak it.</t>
  </si>
  <si>
    <t>Chicken - 0.5 kg
Eggs - 1 unit
Cornflour - 4 tbsp
Ketchup - 6 tbsp
Chilli Garlic Sauce - 4 tbsp
Soy Sauce - 2 tbsp
Vinegar - 2 tbsp
Sugar - 2 tsp
Black Pepper Powder - 1 tsp
Capsicum - 1 unit
Spring Onion - 2 unit
Cooking Oil - 1 cup
Salt - 1 tsp
Ginger Garlic Paste - 1 tbsp</t>
  </si>
  <si>
    <t>Desi-Chinese; sweet, hot &amp; sour. Pair with fried rice (R010).</t>
  </si>
  <si>
    <t>30 min</t>
  </si>
  <si>
    <t>Basmati Rice - 0.5 kg
Eggs - 2 unit
Carrot - 1 unit
Cabbage - 200 g
Spring Onion - 3 unit
Soy Sauce - 2 tbsp
Vinegar - 1 tbsp
Black Pepper Powder - 1 tsp
Salt - 1 tsp
Cooking Oil - 0.5 cup
Capsicum - 1 unit</t>
  </si>
  <si>
    <t>Day-old boiled rice gives the best texture.</t>
  </si>
  <si>
    <t>35 min</t>
  </si>
  <si>
    <t>Pasta - 250 g
Chicken - 0.25 kg
Onion - 1 unit
Tomato - 2 unit
Ginger Garlic Paste - 1 tbsp
Red Chilli Powder - 1 tsp
Black Pepper Powder - 1 tsp
Ketchup - 4 tbsp
Chilli Garlic Sauce - 2 tbsp
Cooking Oil - 0.25 cup
Salt - 1 tsp
Capsicum - 1 unit</t>
  </si>
  <si>
    <t>Weeknight one-pot; dial chilli up or down.</t>
  </si>
  <si>
    <t>Macaroni - 300 g
Chicken - 0.5 kg
Onion - 2 unit
Yogurt - 0.5 cup
Ginger Garlic Paste - 1.5 tbsp
Whole Spices Mix - 1 tbsp
Coriander Powder - 1.5 tsp
Red Chilli Powder - 1.5 tsp
Fried Onion - 0.5 cup
Cooking Oil - 0.5 cup
Salt - 1.5 tsp</t>
  </si>
  <si>
    <t>Food Fusion's korma masala served over boiled macaroni - desi twist.</t>
  </si>
  <si>
    <t>Okra Bhindi - 500 g
Potato - 2 unit
Onion - 1 unit
Cumin Seeds - 1.5 tsp
Coriander Seeds - 1.5 tsp
Red Chilli Powder - 1.5 tsp
Turmeric Powder - 0.5 tsp
Cooking Oil - 0.5 cup
Salt - 1.5 tsp
Lemon - 1 unit
Green Chilli - 2 unit
Fresh Coriander - 0.5 bunch</t>
  </si>
  <si>
    <t>Dry bhindi; lemon at the end keeps it crisp, not slimy.</t>
  </si>
  <si>
    <t>Cauliflower Gobi - 1 unit
Potato - 2 unit
Carrot - 1 unit
Onion - 2 unit
Tomato - 2 unit
Ginger Garlic Paste - 1.5 tbsp
Cumin Seeds - 1.5 tsp
Red Chilli Powder - 1.5 tsp
Turmeric Powder - 0.75 tsp
Coriander Powder - 1.5 tsp
Cooking Oil - 0.5 cup
Salt - 1.5 tsp
Green Chilli - 3 unit
Fresh Coriander - 0.5 bunch</t>
  </si>
  <si>
    <t>Dhaba-style gobi with aloo &amp; carrot; don't overcook the florets.</t>
  </si>
  <si>
    <t>1 hr (+1-2 hr salting)</t>
  </si>
  <si>
    <t>Bitter Gourd Karela - 500 g
Beef Mince - 0.5 kg
Onion - 2 unit
Tomato - 2 unit
Ginger Garlic Paste - 1.5 tbsp
Red Chilli Powder - 1.5 tsp
Turmeric Powder - 0.75 tsp
Garam Masala Powder - 1 tsp
Cooking Oil - 0.75 cup
Salt - 2 tsp
Green Chilli - 3 unit
Fresh Coriander - 0.5 bunch</t>
  </si>
  <si>
    <t>Salt &amp; rest karela 1-2 hrs, then wash well to tame bitterness.</t>
  </si>
  <si>
    <t>25 min</t>
  </si>
  <si>
    <t>Potato - 5 unit
Onion - 1 unit
Tomato - 2 unit
Cumin Seeds - 1.5 tsp
Curry Leaves - 2 sprig
Red Chilli Powder - 1.5 tsp
Turmeric Powder - 0.75 tsp
Cooking Oil - 0.5 cup
Salt - 1.5 tsp
Green Chilli - 3 unit
Fresh Coriander - 0.5 bunch</t>
  </si>
  <si>
    <t>Quick potato bhujia; lovely with puri, daal-chawal or paratha.</t>
  </si>
  <si>
    <t>Beef Mince - 0.75 kg
Potato - 3 unit
Onion - 2 unit
Tomato - 3 unit
Yogurt - 0.5 cup
Ginger Garlic Paste - 2 tbsp
Whole Spices Mix - 1 tbsp
Red Chilli Powder - 2 tsp
Kashmiri Red Chilli Powder - 1 tsp
Turmeric Powder - 0.75 tsp
Coriander Powder - 2 tsp
Dried Fenugreek Leaves - 1 tsp
Chicken Stock Cube - 1 unit
Cooking Oil - 0.75 cup
Salt - 1.5 tsp</t>
  </si>
  <si>
    <t>Dhaba-style; methi (fenugreek) finish is the secret.</t>
  </si>
  <si>
    <t>3 hr 30 min</t>
  </si>
  <si>
    <t>Beef Shank with Bones - 1.5 kg
Onion - 2 unit
Ginger Garlic Paste - 2 tbsp
Nihari Masala - 4 tbsp
Wheat Flour Atta - 6 tbsp
Gram Flour Besan - 2 tbsp
Ghee - 8 tbsp
Salt - 2 tsp
Ginger - 3 inch
Green Chilli - 4 unit
Lemon - 2 unit
Fresh Coriander - 0.5 bunch</t>
  </si>
  <si>
    <t>Slow-cooked shank; serve with ginger julienne, green chilli, lemon &amp; naan.</t>
  </si>
  <si>
    <t>Basmati Rice - 0.5 kg
Moong Daal - 250 g
Onion - 1 unit
Whole Spices Mix - 1 tbsp
Ginger Garlic Paste - 1 tbsp
Turmeric Powder - 0.75 tsp
Red Chilli Powder - 1 tsp
Cumin Seeds - 1.5 tsp
Spring Onion - 2 unit
Cooking Oil - 0.5 cup
Salt - 1.5 tsp
Green Chilli - 2 unit</t>
  </si>
  <si>
    <t>Comfort in a bowl; serve with raita and achar.</t>
  </si>
  <si>
    <t>3 hr slow cook</t>
  </si>
  <si>
    <t>Mustard Greens Saag - 3 bunch
Spinach - 2 bunch
Green Chilli - 4 unit
Maize Flour Makai - 4 tbsp
Butter - 4 tbsp
Ginger - 2 inch
Cooking Oil - 0.25 cup
Salt - 2 tsp
Red Chilli Powder - 1 tsp
Ginger Garlic Paste - 1 tbsp</t>
  </si>
  <si>
    <t>Slow-cook 2-3 hrs; serve with makai ki roti &amp; white butter.</t>
  </si>
  <si>
    <t>ENGINE - one row per recipe ingredient. Do not edit.</t>
  </si>
  <si>
    <t>Ingredient</t>
  </si>
  <si>
    <t>Qty(base)</t>
  </si>
  <si>
    <t>Unit</t>
  </si>
  <si>
    <t>Serves</t>
  </si>
  <si>
    <t>Per_Person</t>
  </si>
  <si>
    <t>Persons_Cooked</t>
  </si>
  <si>
    <t>Qty_Used</t>
  </si>
  <si>
    <t>Need_Now</t>
  </si>
  <si>
    <t>Pantry_Left</t>
  </si>
  <si>
    <t>Have(1/0)</t>
  </si>
  <si>
    <t>Shortfall</t>
  </si>
  <si>
    <t>Chicken</t>
  </si>
  <si>
    <t>kg</t>
  </si>
  <si>
    <t>Basmati_Rice</t>
  </si>
  <si>
    <t>Onion</t>
  </si>
  <si>
    <t>unit</t>
  </si>
  <si>
    <t>Tomato</t>
  </si>
  <si>
    <t>Yogurt</t>
  </si>
  <si>
    <t>cup</t>
  </si>
  <si>
    <t>Ginger_Garlic_Paste</t>
  </si>
  <si>
    <t>tbsp</t>
  </si>
  <si>
    <t>Biryani_Masala</t>
  </si>
  <si>
    <t>Cooking_Oil</t>
  </si>
  <si>
    <t>Mint</t>
  </si>
  <si>
    <t>bunch</t>
  </si>
  <si>
    <t>Fresh_Coriander</t>
  </si>
  <si>
    <t>Green_Chilli</t>
  </si>
  <si>
    <t>Lemon</t>
  </si>
  <si>
    <t>Salt</t>
  </si>
  <si>
    <t>tsp</t>
  </si>
  <si>
    <t>Fried_Onion</t>
  </si>
  <si>
    <t>Kewra_Water</t>
  </si>
  <si>
    <t>Whole_Spices_Mix</t>
  </si>
  <si>
    <t>Cumin_Seeds</t>
  </si>
  <si>
    <t>Coriander_Seeds</t>
  </si>
  <si>
    <t>Fennel_Seeds</t>
  </si>
  <si>
    <t>Red_Kidney_Beans</t>
  </si>
  <si>
    <t>g</t>
  </si>
  <si>
    <t>Red_Chilli_Powder</t>
  </si>
  <si>
    <t>Turmeric_Powder</t>
  </si>
  <si>
    <t>Coriander_Powder</t>
  </si>
  <si>
    <t>Garam_Masala_Powder</t>
  </si>
  <si>
    <t>Ginger</t>
  </si>
  <si>
    <t>inch</t>
  </si>
  <si>
    <t>Black_Pepper_Powder</t>
  </si>
  <si>
    <t>Butter</t>
  </si>
  <si>
    <t>Ghee</t>
  </si>
  <si>
    <t>Chana_Daal</t>
  </si>
  <si>
    <t>Curry_Leaves</t>
  </si>
  <si>
    <t>sprig</t>
  </si>
  <si>
    <t>Mash_Daal</t>
  </si>
  <si>
    <t>Masoor_Daal</t>
  </si>
  <si>
    <t>Beef_Boneless</t>
  </si>
  <si>
    <t>Potato</t>
  </si>
  <si>
    <t>Kashmiri_Red_Chilli_Powder</t>
  </si>
  <si>
    <t>Beef_Mince</t>
  </si>
  <si>
    <t>Eggs</t>
  </si>
  <si>
    <t>Cornflour</t>
  </si>
  <si>
    <t>Ketchup</t>
  </si>
  <si>
    <t>Chilli_Garlic_Sauce</t>
  </si>
  <si>
    <t>Soy_Sauce</t>
  </si>
  <si>
    <t>Vinegar</t>
  </si>
  <si>
    <t>Sugar</t>
  </si>
  <si>
    <t>Capsicum</t>
  </si>
  <si>
    <t>Spring_Onion</t>
  </si>
  <si>
    <t>Carrot</t>
  </si>
  <si>
    <t>Cabbage</t>
  </si>
  <si>
    <t>Pasta</t>
  </si>
  <si>
    <t>Macaroni</t>
  </si>
  <si>
    <t>Okra_Bhindi</t>
  </si>
  <si>
    <t>Cauliflower_Gobi</t>
  </si>
  <si>
    <t>Bitter_Gourd_Karela</t>
  </si>
  <si>
    <t>Dried_Fenugreek_Leaves</t>
  </si>
  <si>
    <t>Chicken_Stock_Cube</t>
  </si>
  <si>
    <t>Beef_Shank_with_Bones</t>
  </si>
  <si>
    <t>Nihari_Masala</t>
  </si>
  <si>
    <t>Wheat_Flour_Atta</t>
  </si>
  <si>
    <t>Gram_Flour_Besan</t>
  </si>
  <si>
    <t>Moong_Daal</t>
  </si>
  <si>
    <t>Mustard_Greens_Saag</t>
  </si>
  <si>
    <t>Spinach</t>
  </si>
  <si>
    <t>Maize_Flour_Makai</t>
  </si>
  <si>
    <t>Pantry &amp; Inventory</t>
  </si>
  <si>
    <t>Yellow cells = yours to edit. Log cooking on Home - quantities deduct automatically. Photo entry: send a fridge/grocery photo to Claude, it reads the items, you type them once here.</t>
  </si>
  <si>
    <t>Dish check:</t>
  </si>
  <si>
    <t>Missing:</t>
  </si>
  <si>
    <t>Qty on Hand</t>
  </si>
  <si>
    <t>Min Threshold</t>
  </si>
  <si>
    <t>Last Updated</t>
  </si>
  <si>
    <t>Entry Method</t>
  </si>
  <si>
    <t>Photo Notes</t>
  </si>
  <si>
    <t>Used (from Cook Log)</t>
  </si>
  <si>
    <t>Qty Left (auto)</t>
  </si>
  <si>
    <t>Status</t>
  </si>
  <si>
    <t>Typed</t>
  </si>
  <si>
    <t>Shopping List</t>
  </si>
  <si>
    <t>Aggregated across all 20 recipes by aisle. BUY lights up when pantry drops below minimum. Tick the box as you shop.</t>
  </si>
  <si>
    <t>Buy this week:</t>
  </si>
  <si>
    <t>Shop for a dish:</t>
  </si>
  <si>
    <t>Got it?</t>
  </si>
  <si>
    <t>Total Needed (all recipes)</t>
  </si>
  <si>
    <t>Aisle</t>
  </si>
  <si>
    <t>In Pantry Now</t>
  </si>
  <si>
    <t>Action</t>
  </si>
  <si>
    <t>Where to buy (Islamabad)</t>
  </si>
  <si>
    <t>☐</t>
  </si>
  <si>
    <t>Produce</t>
  </si>
  <si>
    <t>Sabzi Mandi I-11 (bulk) / Save Mart / Metro online (3-hr)</t>
  </si>
  <si>
    <t>Meat</t>
  </si>
  <si>
    <t>Metro Cash &amp; Carry / Al-Fatah / local butcher (F-10, I-8 Markaz)</t>
  </si>
  <si>
    <t>Dairy</t>
  </si>
  <si>
    <t>Any supermarket - Al-Fatah / Save Mart / Carrefour</t>
  </si>
  <si>
    <t>Spices/Masala</t>
  </si>
  <si>
    <t>Al-Fatah / D. Watson / Metro (Shan &amp; National masalas)</t>
  </si>
  <si>
    <t>Pantry/Dry Goods</t>
  </si>
  <si>
    <t>Metro / Carrefour (bulk) / alfatah.pk online</t>
  </si>
  <si>
    <t>Canned/Legumes</t>
  </si>
  <si>
    <t>Metro / Save Mart / local kiryana store</t>
  </si>
  <si>
    <t>What Can I Cook Tonight?</t>
  </si>
  <si>
    <t>Checklist syncs live from your Pantry. Rankings account for how many people you're feeding (set on Home). Green = dinner is ready.</t>
  </si>
  <si>
    <t>Have it?</t>
  </si>
  <si>
    <t>You're Missing</t>
  </si>
  <si>
    <t>rid</t>
  </si>
  <si>
    <t>match</t>
  </si>
  <si>
    <t>adj</t>
  </si>
  <si>
    <t>Recipe Card</t>
  </si>
  <si>
    <t>Pick a dish:</t>
  </si>
  <si>
    <t>Source serves:</t>
  </si>
  <si>
    <t>You're cooking for:</t>
  </si>
  <si>
    <t>Time:</t>
  </si>
  <si>
    <t>Notes:</t>
  </si>
  <si>
    <t>You Need</t>
  </si>
  <si>
    <t>In Pantry</t>
  </si>
  <si>
    <t>Made with love for Noor - from your 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</si>
</sst>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3" x14ac:knownFonts="1">
    <font>
      <sz val="11"/>
      <color theme="1"/>
      <name val="Calibri"/>
      <family val="2"/>
      <charset val="1"/>
    </font>
    <font>
      <b/>
      <sz val="22"/>
      <color rgb="FFC2185B"/>
      <name val="Arial"/>
      <charset val="1"/>
    </font>
    <font>
      <i/>
      <sz val="11"/>
      <color rgb="FF7B1FA2"/>
      <name val="Arial"/>
      <charset val="1"/>
    </font>
    <font>
      <b/>
      <sz val="12"/>
      <name val="Arial"/>
      <charset val="1"/>
    </font>
    <font>
      <b/>
      <sz val="14"/>
      <color rgb="FFC2185B"/>
      <name val="Arial"/>
      <charset val="1"/>
    </font>
    <font>
      <i/>
      <sz val="9"/>
      <color rgb="FF757575"/>
      <name val="Arial"/>
      <charset val="1"/>
    </font>
    <font>
      <b/>
      <sz val="13"/>
      <color rgb="FFC2185B"/>
      <name val="Arial"/>
      <charset val="1"/>
    </font>
    <font>
      <b/>
      <sz val="11"/>
      <name val="Arial"/>
      <charset val="1"/>
    </font>
    <font>
      <b/>
      <sz val="12"/>
      <color rgb="FF1B5E20"/>
      <name val="Arial"/>
      <charset val="1"/>
    </font>
    <font>
      <b/>
      <sz val="10"/>
      <color rgb="FFFFFFFF"/>
      <name val="Arial"/>
      <charset val="1"/>
    </font>
    <font>
      <sz val="9"/>
      <color rgb="FF757575"/>
      <name val="Arial"/>
      <charset val="1"/>
    </font>
    <font>
      <b/>
      <sz val="10"/>
      <name val="Arial"/>
      <charset val="1"/>
    </font>
    <font>
      <u/>
      <sz val="10"/>
      <color rgb="FF0563C1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10"/>
      <color rgb="FFC2185B"/>
      <name val="Arial"/>
      <charset val="1"/>
    </font>
    <font>
      <b/>
      <sz val="16"/>
      <color rgb="FFC2185B"/>
      <name val="Arial"/>
      <charset val="1"/>
    </font>
    <font>
      <i/>
      <sz val="10"/>
      <color rgb="FF7B1FA2"/>
      <name val="Arial"/>
      <charset val="1"/>
    </font>
    <font>
      <b/>
      <sz val="11"/>
      <color rgb="FFC2185B"/>
      <name val="Arial"/>
      <charset val="1"/>
    </font>
    <font>
      <i/>
      <sz val="9"/>
      <name val="Arial"/>
      <charset val="1"/>
    </font>
    <font>
      <sz val="9"/>
      <name val="Arial"/>
      <charset val="1"/>
    </font>
    <font>
      <b/>
      <sz val="9"/>
      <color rgb="FF757575"/>
      <name val="Arial"/>
      <charset val="1"/>
    </font>
    <font>
      <b/>
      <sz val="10"/>
      <color rgb="FFB71C1C"/>
      <name val="Arial"/>
      <charset val="1"/>
    </font>
    <font>
      <sz val="9"/>
      <color rgb="FFB71C1C"/>
      <name val="Arial"/>
      <charset val="1"/>
    </font>
    <font>
      <b/>
      <sz val="11"/>
      <color rgb="FFB71C1C"/>
      <name val="Arial"/>
      <charset val="1"/>
    </font>
    <font>
      <b/>
      <sz val="12"/>
      <color rgb="FFB71C1C"/>
      <name val="Arial"/>
      <charset val="1"/>
    </font>
    <font>
      <sz val="9"/>
      <color rgb="FF1B5E20"/>
      <name val="Arial"/>
      <charset val="1"/>
    </font>
    <font>
      <sz val="12"/>
      <name val="Arial"/>
      <charset val="1"/>
    </font>
    <font>
      <sz val="8"/>
      <name val="Arial"/>
      <charset val="1"/>
    </font>
    <font>
      <b/>
      <sz val="10"/>
      <color rgb="FFC2185B"/>
      <name val="Arial"/>
      <charset val="1"/>
    </font>
    <font>
      <b/>
      <sz val="12"/>
      <color rgb="FFC2185B"/>
      <name val="Arial"/>
      <charset val="1"/>
    </font>
    <font>
      <b/>
      <sz val="10"/>
      <color rgb="FF7B1FA2"/>
      <name val="Arial"/>
      <charset val="1"/>
    </font>
    <font>
      <b/>
      <u/>
      <sz val="11"/>
      <color rgb="FF0563C1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FCE4EC"/>
        <bgColor rgb="FFFFEBEE"/>
      </patternFill>
    </fill>
    <fill>
      <patternFill patternType="solid">
        <fgColor rgb="FFFFF9C4"/>
        <bgColor rgb="FFFFF8E1"/>
      </patternFill>
    </fill>
    <fill>
      <patternFill patternType="solid">
        <fgColor rgb="FFF5F5F5"/>
        <bgColor rgb="FFE8F5E9"/>
      </patternFill>
    </fill>
    <fill>
      <patternFill patternType="solid">
        <fgColor rgb="FFC2185B"/>
        <bgColor rgb="FFB71C1C"/>
      </patternFill>
    </fill>
    <fill>
      <patternFill patternType="solid">
        <fgColor rgb="FFC8E6C9"/>
        <bgColor rgb="FFE0E0E0"/>
      </patternFill>
    </fill>
    <fill>
      <patternFill patternType="solid">
        <fgColor rgb="FFFFF8E1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CE4EC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CE4EC"/>
      </patternFill>
    </fill>
    <fill>
      <patternFill patternType="solid">
        <fgColor rgb="FFFFFDE7"/>
        <bgColor rgb="FFFFF8E1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top" wrapText="1"/>
    </xf>
    <xf numFmtId="0" fontId="30" fillId="3" borderId="2" xfId="0" applyFont="1" applyFill="1" applyBorder="1"/>
    <xf numFmtId="0" fontId="26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11" fillId="0" borderId="0" xfId="0" applyFont="1"/>
    <xf numFmtId="0" fontId="19" fillId="0" borderId="0" xfId="0" applyFont="1"/>
    <xf numFmtId="0" fontId="13" fillId="3" borderId="2" xfId="0" applyFont="1" applyFill="1" applyBorder="1"/>
    <xf numFmtId="0" fontId="14" fillId="0" borderId="0" xfId="0" applyFont="1" applyAlignment="1">
      <alignment vertical="top" wrapText="1"/>
    </xf>
    <xf numFmtId="0" fontId="11" fillId="0" borderId="1" xfId="0" applyFont="1" applyBorder="1"/>
    <xf numFmtId="0" fontId="11" fillId="6" borderId="1" xfId="0" applyFont="1" applyFill="1" applyBorder="1"/>
    <xf numFmtId="0" fontId="8" fillId="4" borderId="0" xfId="0" applyFont="1" applyFill="1"/>
    <xf numFmtId="0" fontId="7" fillId="4" borderId="0" xfId="0" applyFont="1" applyFill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9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6" borderId="1" xfId="0" applyFont="1" applyFill="1" applyBorder="1"/>
    <xf numFmtId="0" fontId="11" fillId="6" borderId="1" xfId="0" applyFont="1" applyFill="1" applyBorder="1"/>
    <xf numFmtId="9" fontId="0" fillId="6" borderId="1" xfId="0" applyNumberFormat="1" applyFill="1" applyBorder="1"/>
    <xf numFmtId="0" fontId="12" fillId="0" borderId="1" xfId="0" applyFont="1" applyBorder="1"/>
    <xf numFmtId="0" fontId="0" fillId="0" borderId="1" xfId="0" applyBorder="1" applyAlignment="1">
      <alignment horizontal="center" vertical="center"/>
    </xf>
    <xf numFmtId="0" fontId="10" fillId="0" borderId="1" xfId="0" applyFont="1" applyBorder="1"/>
    <xf numFmtId="0" fontId="11" fillId="0" borderId="1" xfId="0" applyFont="1" applyBorder="1"/>
    <xf numFmtId="9" fontId="0" fillId="0" borderId="1" xfId="0" applyNumberFormat="1" applyBorder="1"/>
    <xf numFmtId="0" fontId="13" fillId="3" borderId="1" xfId="0" applyFont="1" applyFill="1" applyBorder="1"/>
    <xf numFmtId="0" fontId="15" fillId="0" borderId="0" xfId="0" applyFont="1"/>
    <xf numFmtId="0" fontId="16" fillId="2" borderId="0" xfId="0" applyFont="1" applyFill="1"/>
    <xf numFmtId="0" fontId="17" fillId="0" borderId="0" xfId="0" applyFont="1"/>
    <xf numFmtId="0" fontId="18" fillId="0" borderId="0" xfId="0" applyFont="1"/>
    <xf numFmtId="0" fontId="12" fillId="0" borderId="0" xfId="0" applyFont="1"/>
    <xf numFmtId="0" fontId="14" fillId="2" borderId="1" xfId="0" applyFont="1" applyFill="1" applyBorder="1"/>
    <xf numFmtId="0" fontId="11" fillId="2" borderId="1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20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1" fillId="0" borderId="0" xfId="0" applyFont="1"/>
    <xf numFmtId="0" fontId="22" fillId="0" borderId="0" xfId="0" applyFont="1"/>
    <xf numFmtId="0" fontId="13" fillId="0" borderId="1" xfId="0" applyFont="1" applyBorder="1"/>
    <xf numFmtId="164" fontId="13" fillId="0" borderId="1" xfId="0" applyNumberFormat="1" applyFont="1" applyBorder="1"/>
    <xf numFmtId="0" fontId="0" fillId="0" borderId="1" xfId="0" applyBorder="1"/>
    <xf numFmtId="0" fontId="24" fillId="7" borderId="0" xfId="0" applyFont="1" applyFill="1"/>
    <xf numFmtId="0" fontId="25" fillId="7" borderId="0" xfId="0" applyFont="1" applyFill="1"/>
    <xf numFmtId="0" fontId="22" fillId="7" borderId="0" xfId="0" applyFont="1" applyFill="1"/>
    <xf numFmtId="0" fontId="27" fillId="0" borderId="1" xfId="0" applyFont="1" applyBorder="1" applyAlignment="1">
      <alignment horizontal="center" vertical="center"/>
    </xf>
    <xf numFmtId="0" fontId="14" fillId="8" borderId="1" xfId="0" applyFont="1" applyFill="1" applyBorder="1"/>
    <xf numFmtId="0" fontId="0" fillId="8" borderId="1" xfId="0" applyFill="1" applyBorder="1"/>
    <xf numFmtId="0" fontId="28" fillId="0" borderId="1" xfId="0" applyFont="1" applyBorder="1"/>
    <xf numFmtId="0" fontId="14" fillId="9" borderId="1" xfId="0" applyFont="1" applyFill="1" applyBorder="1"/>
    <xf numFmtId="0" fontId="0" fillId="9" borderId="1" xfId="0" applyFill="1" applyBorder="1"/>
    <xf numFmtId="0" fontId="14" fillId="10" borderId="1" xfId="0" applyFont="1" applyFill="1" applyBorder="1"/>
    <xf numFmtId="0" fontId="0" fillId="10" borderId="1" xfId="0" applyFill="1" applyBorder="1"/>
    <xf numFmtId="0" fontId="14" fillId="11" borderId="1" xfId="0" applyFont="1" applyFill="1" applyBorder="1"/>
    <xf numFmtId="0" fontId="0" fillId="11" borderId="1" xfId="0" applyFill="1" applyBorder="1"/>
    <xf numFmtId="0" fontId="14" fillId="12" borderId="1" xfId="0" applyFont="1" applyFill="1" applyBorder="1"/>
    <xf numFmtId="0" fontId="0" fillId="12" borderId="1" xfId="0" applyFill="1" applyBorder="1"/>
    <xf numFmtId="0" fontId="14" fillId="13" borderId="1" xfId="0" applyFont="1" applyFill="1" applyBorder="1"/>
    <xf numFmtId="0" fontId="0" fillId="13" borderId="1" xfId="0" applyFill="1" applyBorder="1"/>
    <xf numFmtId="0" fontId="29" fillId="2" borderId="0" xfId="0" applyFont="1" applyFill="1"/>
    <xf numFmtId="0" fontId="0" fillId="6" borderId="1" xfId="0" applyFill="1" applyBorder="1"/>
    <xf numFmtId="0" fontId="23" fillId="0" borderId="1" xfId="0" applyFont="1" applyBorder="1" applyAlignment="1">
      <alignment vertical="top" wrapText="1"/>
    </xf>
    <xf numFmtId="0" fontId="7" fillId="0" borderId="0" xfId="0" applyFont="1"/>
    <xf numFmtId="0" fontId="31" fillId="0" borderId="0" xfId="0" applyFont="1"/>
    <xf numFmtId="0" fontId="32" fillId="0" borderId="0" xfId="0" applyFont="1"/>
  </cellXfs>
  <cellStyles count="1">
    <cellStyle name="Normal" xfId="0" builtinId="0"/>
  </cellStyles>
  <dxfs count="8">
    <dxf>
      <font>
        <b/>
        <color rgb="FF1B5E20"/>
      </font>
    </dxf>
    <dxf>
      <font>
        <b/>
        <color rgb="FFB71C1C"/>
      </font>
      <fill>
        <patternFill>
          <bgColor rgb="FFFFCDD2"/>
        </patternFill>
      </fill>
    </dxf>
    <dxf>
      <fill>
        <patternFill>
          <bgColor rgb="FFE8F5E9"/>
        </patternFill>
      </fill>
    </dxf>
    <dxf>
      <font>
        <color rgb="FF1B5E20"/>
      </font>
    </dxf>
    <dxf>
      <font>
        <b/>
        <color rgb="FFB71C1C"/>
      </font>
      <fill>
        <patternFill>
          <bgColor rgb="FFFFCDD2"/>
        </patternFill>
      </fill>
    </dxf>
    <dxf>
      <font>
        <strike/>
        <color rgb="FF9E9E9E"/>
      </font>
    </dxf>
    <dxf>
      <font>
        <b/>
        <color rgb="FFB71C1C"/>
      </font>
      <fill>
        <patternFill>
          <bgColor rgb="FFFFCDD2"/>
        </patternFill>
      </fill>
    </dxf>
    <dxf>
      <font>
        <b/>
        <color rgb="FFB71C1C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7B1FA2"/>
      <rgbColor rgb="FF008080"/>
      <rgbColor rgb="FFF3E5F5"/>
      <rgbColor rgb="FF757575"/>
      <rgbColor rgb="FF9999FF"/>
      <rgbColor rgb="FFC2185B"/>
      <rgbColor rgb="FFFFF9C4"/>
      <rgbColor rgb="FFE3F2FD"/>
      <rgbColor rgb="FF660066"/>
      <rgbColor rgb="FFF06292"/>
      <rgbColor rgb="FF0563C1"/>
      <rgbColor rgb="FFE0E0E0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FCE4EC"/>
      <rgbColor rgb="FFFFEBEE"/>
      <rgbColor rgb="FFF5F5F5"/>
      <rgbColor rgb="FFFFCDD2"/>
      <rgbColor rgb="FF3366FF"/>
      <rgbColor rgb="FF33CCCC"/>
      <rgbColor rgb="FF99CC00"/>
      <rgbColor rgb="FFFFCC00"/>
      <rgbColor rgb="FFFF9900"/>
      <rgbColor rgb="FFFF7043"/>
      <rgbColor rgb="FF666699"/>
      <rgbColor rgb="FF9E9E9E"/>
      <rgbColor rgb="FF003366"/>
      <rgbColor rgb="FF43A047"/>
      <rgbColor rgb="FF003300"/>
      <rgbColor rgb="FF333300"/>
      <rgbColor rgb="FFB71C1C"/>
      <rgbColor rgb="FFEC407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iyO-3eD_fs8" TargetMode="External"/><Relationship Id="rId18" Type="http://schemas.openxmlformats.org/officeDocument/2006/relationships/hyperlink" Target="https://www.foodfusion.com/recipe/aloo-ghosht-delhi-style-recipe/" TargetMode="External"/><Relationship Id="rId26" Type="http://schemas.openxmlformats.org/officeDocument/2006/relationships/hyperlink" Target="https://foodfusion.com/recipe/one-pot-spicy-pasta/" TargetMode="External"/><Relationship Id="rId39" Type="http://schemas.openxmlformats.org/officeDocument/2006/relationships/hyperlink" Target="https://www.youtube.com/watch?v=mZOXDAvMCM4" TargetMode="External"/><Relationship Id="rId21" Type="http://schemas.openxmlformats.org/officeDocument/2006/relationships/hyperlink" Target="https://www.youtube.com/watch?v=WM-i9wGT4zk" TargetMode="External"/><Relationship Id="rId34" Type="http://schemas.openxmlformats.org/officeDocument/2006/relationships/hyperlink" Target="https://www.foodfusion.com/recipe/qeema-karaley/" TargetMode="External"/><Relationship Id="rId42" Type="http://schemas.openxmlformats.org/officeDocument/2006/relationships/hyperlink" Target="https://www.foodfusion.com/recipe/spicy-fried-khichdi-recipe/" TargetMode="External"/><Relationship Id="rId7" Type="http://schemas.openxmlformats.org/officeDocument/2006/relationships/hyperlink" Target="https://www.youtube.com/watch?v=T3pQmbC1GW4" TargetMode="External"/><Relationship Id="rId2" Type="http://schemas.openxmlformats.org/officeDocument/2006/relationships/hyperlink" Target="https://foodfusion.com/recipe/extreme-chicken-biryani/" TargetMode="External"/><Relationship Id="rId16" Type="http://schemas.openxmlformats.org/officeDocument/2006/relationships/hyperlink" Target="https://www.foodfusion.com/recipe/malka-masoor-daal-with-quick-achaar/" TargetMode="External"/><Relationship Id="rId20" Type="http://schemas.openxmlformats.org/officeDocument/2006/relationships/hyperlink" Target="https://www.foodfusion.com/recipe/shami-kabab-recipe/" TargetMode="External"/><Relationship Id="rId29" Type="http://schemas.openxmlformats.org/officeDocument/2006/relationships/hyperlink" Target="https://www.youtube.com/watch?v=NZwQExS8u9k" TargetMode="External"/><Relationship Id="rId41" Type="http://schemas.openxmlformats.org/officeDocument/2006/relationships/hyperlink" Target="https://www.youtube.com/watch?v=H71MWbyhO0E" TargetMode="External"/><Relationship Id="rId1" Type="http://schemas.openxmlformats.org/officeDocument/2006/relationships/hyperlink" Target="https://www.youtube.com/watch?v=40VJanswaAQ" TargetMode="External"/><Relationship Id="rId6" Type="http://schemas.openxmlformats.org/officeDocument/2006/relationships/hyperlink" Target="https://foodfusion.com/recipe/lal-lobia-masala/" TargetMode="External"/><Relationship Id="rId11" Type="http://schemas.openxmlformats.org/officeDocument/2006/relationships/hyperlink" Target="https://www.youtube.com/watch?v=72Sy9j7DLVk" TargetMode="External"/><Relationship Id="rId24" Type="http://schemas.openxmlformats.org/officeDocument/2006/relationships/hyperlink" Target="https://www.foodfusion.com/recipe/chinese-fried-rice/" TargetMode="External"/><Relationship Id="rId32" Type="http://schemas.openxmlformats.org/officeDocument/2006/relationships/hyperlink" Target="https://foodfusion.com/recipe/dhaba-style-mix-vegetable/" TargetMode="External"/><Relationship Id="rId37" Type="http://schemas.openxmlformats.org/officeDocument/2006/relationships/hyperlink" Target="https://www.youtube.com/shorts/qVQCbXiU7_A" TargetMode="External"/><Relationship Id="rId40" Type="http://schemas.openxmlformats.org/officeDocument/2006/relationships/hyperlink" Target="https://www.foodfusion.com/recipe/perfect-beef-nihari-recipe/" TargetMode="External"/><Relationship Id="rId5" Type="http://schemas.openxmlformats.org/officeDocument/2006/relationships/hyperlink" Target="https://www.youtube.com/watch?v=mFfYhYCzyVg" TargetMode="External"/><Relationship Id="rId15" Type="http://schemas.openxmlformats.org/officeDocument/2006/relationships/hyperlink" Target="https://www.youtube.com/watch?v=s1rA4kd1Wfg" TargetMode="External"/><Relationship Id="rId23" Type="http://schemas.openxmlformats.org/officeDocument/2006/relationships/hyperlink" Target="https://www.youtube.com/watch?v=P2tIt4bZNmI" TargetMode="External"/><Relationship Id="rId28" Type="http://schemas.openxmlformats.org/officeDocument/2006/relationships/hyperlink" Target="https://www.foodfusion.com/recipe/chicken-korma-masala/" TargetMode="External"/><Relationship Id="rId36" Type="http://schemas.openxmlformats.org/officeDocument/2006/relationships/hyperlink" Target="https://www.foodfusion.com/recipe/masala-aloo-recipe/" TargetMode="External"/><Relationship Id="rId10" Type="http://schemas.openxmlformats.org/officeDocument/2006/relationships/hyperlink" Target="https://www.foodfusion.com/recipe/chicken-korma/" TargetMode="External"/><Relationship Id="rId19" Type="http://schemas.openxmlformats.org/officeDocument/2006/relationships/hyperlink" Target="https://www.youtube.com/watch?v=vhXMVKd1OGI" TargetMode="External"/><Relationship Id="rId31" Type="http://schemas.openxmlformats.org/officeDocument/2006/relationships/hyperlink" Target="https://www.youtube.com/watch?v=L7LXJ7FiRPA" TargetMode="External"/><Relationship Id="rId44" Type="http://schemas.openxmlformats.org/officeDocument/2006/relationships/hyperlink" Target="https://www.foodfusion.com/recipe/sarson-ka-saag-recipe/" TargetMode="External"/><Relationship Id="rId4" Type="http://schemas.openxmlformats.org/officeDocument/2006/relationships/hyperlink" Target="https://foodfusion.com/recipe/chicken-yakhni-pulao/" TargetMode="External"/><Relationship Id="rId9" Type="http://schemas.openxmlformats.org/officeDocument/2006/relationships/hyperlink" Target="https://www.youtube.com/watch?v=9jOH3TEB-NI" TargetMode="External"/><Relationship Id="rId14" Type="http://schemas.openxmlformats.org/officeDocument/2006/relationships/hyperlink" Target="https://www.foodfusion.com/recipe/mash-daal-with-tadka/" TargetMode="External"/><Relationship Id="rId22" Type="http://schemas.openxmlformats.org/officeDocument/2006/relationships/hyperlink" Target="https://www.foodfusion.com/recipe/chicken-manchurian/" TargetMode="External"/><Relationship Id="rId27" Type="http://schemas.openxmlformats.org/officeDocument/2006/relationships/hyperlink" Target="https://www.youtube.com/watch?v=1epkIJdJCds" TargetMode="External"/><Relationship Id="rId30" Type="http://schemas.openxmlformats.org/officeDocument/2006/relationships/hyperlink" Target="https://foodfusion.com/recipe/masala-aloo-bhindi/" TargetMode="External"/><Relationship Id="rId35" Type="http://schemas.openxmlformats.org/officeDocument/2006/relationships/hyperlink" Target="https://www.youtube.com/watch?v=cwps_0u-vPQ" TargetMode="External"/><Relationship Id="rId43" Type="http://schemas.openxmlformats.org/officeDocument/2006/relationships/hyperlink" Target="https://www.youtube.com/watch?v=XH2_pWrguvI" TargetMode="External"/><Relationship Id="rId8" Type="http://schemas.openxmlformats.org/officeDocument/2006/relationships/hyperlink" Target="https://foodfusion.com/recipe/fire-chicken-karahi/" TargetMode="External"/><Relationship Id="rId3" Type="http://schemas.openxmlformats.org/officeDocument/2006/relationships/hyperlink" Target="https://www.youtube.com/watch?v=QaZWOGs82Nw" TargetMode="External"/><Relationship Id="rId12" Type="http://schemas.openxmlformats.org/officeDocument/2006/relationships/hyperlink" Target="https://www.foodfusion.com/recipe/masala-chana-daal/" TargetMode="External"/><Relationship Id="rId17" Type="http://schemas.openxmlformats.org/officeDocument/2006/relationships/hyperlink" Target="https://www.youtube.com/watch?v=cbzmggwKZbw" TargetMode="External"/><Relationship Id="rId25" Type="http://schemas.openxmlformats.org/officeDocument/2006/relationships/hyperlink" Target="https://www.youtube.com/watch?v=a6nYTLyi6sU" TargetMode="External"/><Relationship Id="rId33" Type="http://schemas.openxmlformats.org/officeDocument/2006/relationships/hyperlink" Target="https://www.youtube.com/watch?v=C2p7idVXhE8" TargetMode="External"/><Relationship Id="rId38" Type="http://schemas.openxmlformats.org/officeDocument/2006/relationships/hyperlink" Target="https://foodfusion.com/recipe/dhaba-style-aloo-qee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C407A"/>
  </sheetPr>
  <dimension ref="B2:I51"/>
  <sheetViews>
    <sheetView showGridLines="0" tabSelected="1" topLeftCell="A43" zoomScaleNormal="100" workbookViewId="0">
      <selection activeCell="B52" sqref="B52"/>
    </sheetView>
  </sheetViews>
  <sheetFormatPr defaultColWidth="8.6328125" defaultRowHeight="14.5" x14ac:dyDescent="0.35"/>
  <cols>
    <col min="1" max="1" width="2" customWidth="1"/>
    <col min="2" max="2" width="16" customWidth="1"/>
    <col min="3" max="3" width="8" customWidth="1"/>
    <col min="4" max="4" width="20" customWidth="1"/>
    <col min="5" max="5" width="22" customWidth="1"/>
    <col min="6" max="6" width="12" customWidth="1"/>
    <col min="7" max="8" width="10" customWidth="1"/>
  </cols>
  <sheetData>
    <row r="2" spans="2:9" ht="28" x14ac:dyDescent="0.6">
      <c r="B2" s="13" t="s">
        <v>0</v>
      </c>
      <c r="C2" s="14"/>
      <c r="D2" s="14"/>
      <c r="E2" s="14"/>
      <c r="F2" s="14"/>
      <c r="G2" s="14"/>
      <c r="H2" s="14"/>
      <c r="I2" s="14"/>
    </row>
    <row r="3" spans="2:9" x14ac:dyDescent="0.35">
      <c r="B3" s="15" t="s">
        <v>1</v>
      </c>
      <c r="C3" s="14"/>
      <c r="D3" s="14"/>
      <c r="E3" s="14"/>
      <c r="F3" s="14"/>
      <c r="G3" s="14"/>
      <c r="H3" s="14"/>
      <c r="I3" s="14"/>
    </row>
    <row r="5" spans="2:9" ht="18" x14ac:dyDescent="0.35">
      <c r="B5" s="16" t="s">
        <v>2</v>
      </c>
      <c r="D5" s="17">
        <v>1</v>
      </c>
      <c r="E5" s="18" t="s">
        <v>3</v>
      </c>
    </row>
    <row r="7" spans="2:9" ht="16.5" x14ac:dyDescent="0.35">
      <c r="B7" s="19" t="s">
        <v>4</v>
      </c>
    </row>
    <row r="8" spans="2:9" ht="15.5" x14ac:dyDescent="0.35">
      <c r="B8" s="12" t="s">
        <v>5</v>
      </c>
      <c r="C8" s="12"/>
      <c r="D8" s="12"/>
      <c r="E8" s="12"/>
      <c r="F8" s="11">
        <f>COUNTIF('What Can I Cook'!$M$4:$M$25,1)</f>
        <v>5</v>
      </c>
      <c r="G8" s="11"/>
    </row>
    <row r="9" spans="2:9" ht="15.5" x14ac:dyDescent="0.35">
      <c r="B9" s="12" t="s">
        <v>6</v>
      </c>
      <c r="C9" s="12"/>
      <c r="D9" s="12"/>
      <c r="E9" s="12"/>
      <c r="F9" s="11">
        <f>'Shopping List'!$C$3</f>
        <v>20</v>
      </c>
      <c r="G9" s="11"/>
    </row>
    <row r="10" spans="2:9" ht="15.5" x14ac:dyDescent="0.35">
      <c r="B10" s="12" t="s">
        <v>7</v>
      </c>
      <c r="C10" s="12"/>
      <c r="D10" s="12"/>
      <c r="E10" s="12"/>
      <c r="F10" s="11">
        <f>COUNTIF($B$28:$B$39,"?*")</f>
        <v>0</v>
      </c>
      <c r="G10" s="11"/>
    </row>
    <row r="11" spans="2:9" ht="15.5" x14ac:dyDescent="0.35">
      <c r="B11" s="12" t="s">
        <v>8</v>
      </c>
      <c r="C11" s="12"/>
      <c r="D11" s="12"/>
      <c r="E11" s="12"/>
      <c r="F11" s="11" t="str">
        <f>'What Can I Cook'!$F$4</f>
        <v>Aalu (Masala Aloo)</v>
      </c>
      <c r="G11" s="11"/>
    </row>
    <row r="13" spans="2:9" ht="16.5" x14ac:dyDescent="0.35">
      <c r="B13" s="19" t="s">
        <v>9</v>
      </c>
    </row>
    <row r="14" spans="2:9" x14ac:dyDescent="0.35">
      <c r="B14" s="20" t="s">
        <v>10</v>
      </c>
      <c r="C14" s="20" t="s">
        <v>11</v>
      </c>
      <c r="D14" s="20" t="s">
        <v>12</v>
      </c>
      <c r="E14" s="20"/>
      <c r="F14" s="20" t="s">
        <v>13</v>
      </c>
      <c r="G14" s="20" t="s">
        <v>14</v>
      </c>
      <c r="H14" s="20" t="s">
        <v>15</v>
      </c>
    </row>
    <row r="15" spans="2:9" x14ac:dyDescent="0.35">
      <c r="B15" s="21">
        <v>1</v>
      </c>
      <c r="C15" s="22" t="str">
        <f>INDEX('What Can I Cook'!$L$4:$L$25,MATCH(LARGE('What Can I Cook'!$N$4:$N$25,$B15),'What Can I Cook'!$N$4:$N$25,0))</f>
        <v>R016</v>
      </c>
      <c r="D15" s="10" t="str">
        <f>VLOOKUP($C15,Lists!$A$2:$B$23,2,0)</f>
        <v>Aalu (Masala Aloo)</v>
      </c>
      <c r="E15" s="10"/>
      <c r="F15" s="24">
        <f>INDEX('What Can I Cook'!$M$4:$M$25,MATCH($C15,'What Can I Cook'!$L$4:$L$25,0))</f>
        <v>1</v>
      </c>
      <c r="G15" s="25" t="str">
        <f>HYPERLINK(INDEX(Lists!$E$2:$E$23,MATCH($C15,Lists!$A$2:$A$23,0)),"&gt; Watch")</f>
        <v>&gt; Watch</v>
      </c>
      <c r="H15" s="25" t="str">
        <f>HYPERLINK(INDEX(Lists!$D$2:$D$23,MATCH($C15,Lists!$A$2:$A$23,0)),"Read")</f>
        <v>Read</v>
      </c>
    </row>
    <row r="16" spans="2:9" x14ac:dyDescent="0.35">
      <c r="B16" s="21">
        <v>2</v>
      </c>
      <c r="C16" s="22" t="str">
        <f>INDEX('What Can I Cook'!$L$4:$L$25,MATCH(LARGE('What Can I Cook'!$N$4:$N$25,$B16),'What Can I Cook'!$N$4:$N$25,0))</f>
        <v>R006b</v>
      </c>
      <c r="D16" s="10" t="str">
        <f>VLOOKUP($C16,Lists!$A$2:$B$23,2,0)</f>
        <v>Daal Mash with Tadka</v>
      </c>
      <c r="E16" s="10"/>
      <c r="F16" s="24">
        <f>INDEX('What Can I Cook'!$M$4:$M$25,MATCH($C16,'What Can I Cook'!$L$4:$L$25,0))</f>
        <v>1</v>
      </c>
      <c r="G16" s="25" t="str">
        <f>HYPERLINK(INDEX(Lists!$E$2:$E$23,MATCH($C16,Lists!$A$2:$A$23,0)),"&gt; Watch")</f>
        <v>&gt; Watch</v>
      </c>
      <c r="H16" s="25" t="str">
        <f>HYPERLINK(INDEX(Lists!$D$2:$D$23,MATCH($C16,Lists!$A$2:$A$23,0)),"Read")</f>
        <v>Read</v>
      </c>
    </row>
    <row r="17" spans="2:8" x14ac:dyDescent="0.35">
      <c r="B17" s="21">
        <v>3</v>
      </c>
      <c r="C17" s="22" t="str">
        <f>INDEX('What Can I Cook'!$L$4:$L$25,MATCH(LARGE('What Can I Cook'!$N$4:$N$25,$B17),'What Can I Cook'!$N$4:$N$25,0))</f>
        <v>R006a</v>
      </c>
      <c r="D17" s="10" t="str">
        <f>VLOOKUP($C17,Lists!$A$2:$B$23,2,0)</f>
        <v>Daal Chana (Masala)</v>
      </c>
      <c r="E17" s="10"/>
      <c r="F17" s="24">
        <f>INDEX('What Can I Cook'!$M$4:$M$25,MATCH($C17,'What Can I Cook'!$L$4:$L$25,0))</f>
        <v>1</v>
      </c>
      <c r="G17" s="25" t="str">
        <f>HYPERLINK(INDEX(Lists!$E$2:$E$23,MATCH($C17,Lists!$A$2:$A$23,0)),"&gt; Watch")</f>
        <v>&gt; Watch</v>
      </c>
      <c r="H17" s="25" t="str">
        <f>HYPERLINK(INDEX(Lists!$D$2:$D$23,MATCH($C17,Lists!$A$2:$A$23,0)),"Read")</f>
        <v>Read</v>
      </c>
    </row>
    <row r="18" spans="2:8" x14ac:dyDescent="0.35">
      <c r="B18" s="26">
        <v>4</v>
      </c>
      <c r="C18" s="27" t="str">
        <f>INDEX('What Can I Cook'!$L$4:$L$25,MATCH(LARGE('What Can I Cook'!$N$4:$N$25,$B18),'What Can I Cook'!$N$4:$N$25,0))</f>
        <v>R004</v>
      </c>
      <c r="D18" s="9" t="str">
        <f>VLOOKUP($C18,Lists!$A$2:$B$23,2,0)</f>
        <v>Chicken Karahi (Fire)</v>
      </c>
      <c r="E18" s="9"/>
      <c r="F18" s="29">
        <f>INDEX('What Can I Cook'!$M$4:$M$25,MATCH($C18,'What Can I Cook'!$L$4:$L$25,0))</f>
        <v>1</v>
      </c>
      <c r="G18" s="25" t="str">
        <f>HYPERLINK(INDEX(Lists!$E$2:$E$23,MATCH($C18,Lists!$A$2:$A$23,0)),"&gt; Watch")</f>
        <v>&gt; Watch</v>
      </c>
      <c r="H18" s="25" t="str">
        <f>HYPERLINK(INDEX(Lists!$D$2:$D$23,MATCH($C18,Lists!$A$2:$A$23,0)),"Read")</f>
        <v>Read</v>
      </c>
    </row>
    <row r="19" spans="2:8" x14ac:dyDescent="0.35">
      <c r="B19" s="26">
        <v>5</v>
      </c>
      <c r="C19" s="27" t="str">
        <f>INDEX('What Can I Cook'!$L$4:$L$25,MATCH(LARGE('What Can I Cook'!$N$4:$N$25,$B19),'What Can I Cook'!$N$4:$N$25,0))</f>
        <v>R002</v>
      </c>
      <c r="D19" s="9" t="str">
        <f>VLOOKUP($C19,Lists!$A$2:$B$23,2,0)</f>
        <v>Chicken Yakhni Pulao</v>
      </c>
      <c r="E19" s="9"/>
      <c r="F19" s="29">
        <f>INDEX('What Can I Cook'!$M$4:$M$25,MATCH($C19,'What Can I Cook'!$L$4:$L$25,0))</f>
        <v>1</v>
      </c>
      <c r="G19" s="25" t="str">
        <f>HYPERLINK(INDEX(Lists!$E$2:$E$23,MATCH($C19,Lists!$A$2:$A$23,0)),"&gt; Watch")</f>
        <v>&gt; Watch</v>
      </c>
      <c r="H19" s="25" t="str">
        <f>HYPERLINK(INDEX(Lists!$D$2:$D$23,MATCH($C19,Lists!$A$2:$A$23,0)),"Read")</f>
        <v>Read</v>
      </c>
    </row>
    <row r="20" spans="2:8" x14ac:dyDescent="0.35">
      <c r="B20" s="26">
        <v>6</v>
      </c>
      <c r="C20" s="27" t="str">
        <f>INDEX('What Can I Cook'!$L$4:$L$25,MATCH(LARGE('What Can I Cook'!$N$4:$N$25,$B20),'What Can I Cook'!$N$4:$N$25,0))</f>
        <v>R017</v>
      </c>
      <c r="D20" s="9" t="str">
        <f>VLOOKUP($C20,Lists!$A$2:$B$23,2,0)</f>
        <v>Qeema (Dhaba Style Aloo Qeema)</v>
      </c>
      <c r="E20" s="9"/>
      <c r="F20" s="29">
        <f>INDEX('What Can I Cook'!$M$4:$M$25,MATCH($C20,'What Can I Cook'!$L$4:$L$25,0))</f>
        <v>0.93333333333333335</v>
      </c>
      <c r="G20" s="25" t="str">
        <f>HYPERLINK(INDEX(Lists!$E$2:$E$23,MATCH($C20,Lists!$A$2:$A$23,0)),"&gt; Watch")</f>
        <v>&gt; Watch</v>
      </c>
      <c r="H20" s="25" t="str">
        <f>HYPERLINK(INDEX(Lists!$D$2:$D$23,MATCH($C20,Lists!$A$2:$A$23,0)),"Read")</f>
        <v>Read</v>
      </c>
    </row>
    <row r="21" spans="2:8" x14ac:dyDescent="0.35">
      <c r="B21" s="26">
        <v>7</v>
      </c>
      <c r="C21" s="27" t="str">
        <f>INDEX('What Can I Cook'!$L$4:$L$25,MATCH(LARGE('What Can I Cook'!$N$4:$N$25,$B21),'What Can I Cook'!$N$4:$N$25,0))</f>
        <v>R008</v>
      </c>
      <c r="D21" s="9" t="str">
        <f>VLOOKUP($C21,Lists!$A$2:$B$23,2,0)</f>
        <v>Shami Kabab</v>
      </c>
      <c r="E21" s="9"/>
      <c r="F21" s="29">
        <f>INDEX('What Can I Cook'!$M$4:$M$25,MATCH($C21,'What Can I Cook'!$L$4:$L$25,0))</f>
        <v>0.93333333333333335</v>
      </c>
      <c r="G21" s="25" t="str">
        <f>HYPERLINK(INDEX(Lists!$E$2:$E$23,MATCH($C21,Lists!$A$2:$A$23,0)),"&gt; Watch")</f>
        <v>&gt; Watch</v>
      </c>
      <c r="H21" s="25" t="str">
        <f>HYPERLINK(INDEX(Lists!$D$2:$D$23,MATCH($C21,Lists!$A$2:$A$23,0)),"Read")</f>
        <v>Read</v>
      </c>
    </row>
    <row r="22" spans="2:8" x14ac:dyDescent="0.35">
      <c r="B22" s="26">
        <v>8</v>
      </c>
      <c r="C22" s="27" t="str">
        <f>INDEX('What Can I Cook'!$L$4:$L$25,MATCH(LARGE('What Can I Cook'!$N$4:$N$25,$B22),'What Can I Cook'!$N$4:$N$25,0))</f>
        <v>R014</v>
      </c>
      <c r="D22" s="9" t="str">
        <f>VLOOKUP($C22,Lists!$A$2:$B$23,2,0)</f>
        <v>Gobi Masala (Dhaba Style)</v>
      </c>
      <c r="E22" s="9"/>
      <c r="F22" s="29">
        <f>INDEX('What Can I Cook'!$M$4:$M$25,MATCH($C22,'What Can I Cook'!$L$4:$L$25,0))</f>
        <v>0.9285714285714286</v>
      </c>
      <c r="G22" s="25" t="str">
        <f>HYPERLINK(INDEX(Lists!$E$2:$E$23,MATCH($C22,Lists!$A$2:$A$23,0)),"&gt; Watch")</f>
        <v>&gt; Watch</v>
      </c>
      <c r="H22" s="25" t="str">
        <f>HYPERLINK(INDEX(Lists!$D$2:$D$23,MATCH($C22,Lists!$A$2:$A$23,0)),"Read")</f>
        <v>Read</v>
      </c>
    </row>
    <row r="23" spans="2:8" x14ac:dyDescent="0.35">
      <c r="B23" s="26">
        <v>9</v>
      </c>
      <c r="C23" s="27" t="str">
        <f>INDEX('What Can I Cook'!$L$4:$L$25,MATCH(LARGE('What Can I Cook'!$N$4:$N$25,$B23),'What Can I Cook'!$N$4:$N$25,0))</f>
        <v>R009</v>
      </c>
      <c r="D23" s="9" t="str">
        <f>VLOOKUP($C23,Lists!$A$2:$B$23,2,0)</f>
        <v>Chicken Manchurian</v>
      </c>
      <c r="E23" s="9"/>
      <c r="F23" s="29">
        <f>INDEX('What Can I Cook'!$M$4:$M$25,MATCH($C23,'What Can I Cook'!$L$4:$L$25,0))</f>
        <v>0.9285714285714286</v>
      </c>
      <c r="G23" s="25" t="str">
        <f>HYPERLINK(INDEX(Lists!$E$2:$E$23,MATCH($C23,Lists!$A$2:$A$23,0)),"&gt; Watch")</f>
        <v>&gt; Watch</v>
      </c>
      <c r="H23" s="25" t="str">
        <f>HYPERLINK(INDEX(Lists!$D$2:$D$23,MATCH($C23,Lists!$A$2:$A$23,0)),"Read")</f>
        <v>Read</v>
      </c>
    </row>
    <row r="24" spans="2:8" x14ac:dyDescent="0.35">
      <c r="B24" s="26">
        <v>10</v>
      </c>
      <c r="C24" s="27" t="str">
        <f>INDEX('What Can I Cook'!$L$4:$L$25,MATCH(LARGE('What Can I Cook'!$N$4:$N$25,$B24),'What Can I Cook'!$N$4:$N$25,0))</f>
        <v>R019</v>
      </c>
      <c r="D24" s="9" t="str">
        <f>VLOOKUP($C24,Lists!$A$2:$B$23,2,0)</f>
        <v>Khichri (Spicy Fried Khichdi)</v>
      </c>
      <c r="E24" s="9"/>
      <c r="F24" s="29">
        <f>INDEX('What Can I Cook'!$M$4:$M$25,MATCH($C24,'What Can I Cook'!$L$4:$L$25,0))</f>
        <v>0.91666666666666663</v>
      </c>
      <c r="G24" s="25" t="str">
        <f>HYPERLINK(INDEX(Lists!$E$2:$E$23,MATCH($C24,Lists!$A$2:$A$23,0)),"&gt; Watch")</f>
        <v>&gt; Watch</v>
      </c>
      <c r="H24" s="25" t="str">
        <f>HYPERLINK(INDEX(Lists!$D$2:$D$23,MATCH($C24,Lists!$A$2:$A$23,0)),"Read")</f>
        <v>Read</v>
      </c>
    </row>
    <row r="26" spans="2:8" ht="16.5" x14ac:dyDescent="0.35">
      <c r="B26" s="19" t="s">
        <v>16</v>
      </c>
      <c r="E26" s="18" t="s">
        <v>17</v>
      </c>
    </row>
    <row r="27" spans="2:8" x14ac:dyDescent="0.35">
      <c r="B27" s="20" t="s">
        <v>12</v>
      </c>
      <c r="C27" s="20" t="s">
        <v>18</v>
      </c>
      <c r="D27" s="20" t="s">
        <v>19</v>
      </c>
      <c r="E27" s="20" t="s">
        <v>20</v>
      </c>
    </row>
    <row r="28" spans="2:8" x14ac:dyDescent="0.35">
      <c r="B28" s="30"/>
      <c r="C28" s="30"/>
      <c r="D28" s="30"/>
      <c r="E28" s="30"/>
    </row>
    <row r="29" spans="2:8" x14ac:dyDescent="0.35">
      <c r="B29" s="30"/>
      <c r="C29" s="30"/>
      <c r="D29" s="30"/>
      <c r="E29" s="30"/>
    </row>
    <row r="30" spans="2:8" x14ac:dyDescent="0.35">
      <c r="B30" s="30"/>
      <c r="C30" s="30"/>
      <c r="D30" s="30"/>
      <c r="E30" s="30"/>
    </row>
    <row r="31" spans="2:8" x14ac:dyDescent="0.35">
      <c r="B31" s="30"/>
      <c r="C31" s="30"/>
      <c r="D31" s="30"/>
      <c r="E31" s="30"/>
    </row>
    <row r="32" spans="2:8" x14ac:dyDescent="0.35">
      <c r="B32" s="30"/>
      <c r="C32" s="30"/>
      <c r="D32" s="30"/>
      <c r="E32" s="30"/>
    </row>
    <row r="33" spans="2:9" x14ac:dyDescent="0.35">
      <c r="B33" s="30"/>
      <c r="C33" s="30"/>
      <c r="D33" s="30"/>
      <c r="E33" s="30"/>
    </row>
    <row r="34" spans="2:9" x14ac:dyDescent="0.35">
      <c r="B34" s="30"/>
      <c r="C34" s="30"/>
      <c r="D34" s="30"/>
      <c r="E34" s="30"/>
    </row>
    <row r="35" spans="2:9" x14ac:dyDescent="0.35">
      <c r="B35" s="30"/>
      <c r="C35" s="30"/>
      <c r="D35" s="30"/>
      <c r="E35" s="30"/>
    </row>
    <row r="36" spans="2:9" x14ac:dyDescent="0.35">
      <c r="B36" s="30"/>
      <c r="C36" s="30"/>
      <c r="D36" s="30"/>
      <c r="E36" s="30"/>
    </row>
    <row r="37" spans="2:9" x14ac:dyDescent="0.35">
      <c r="B37" s="30"/>
      <c r="C37" s="30"/>
      <c r="D37" s="30"/>
      <c r="E37" s="30"/>
    </row>
    <row r="38" spans="2:9" x14ac:dyDescent="0.35">
      <c r="B38" s="30"/>
      <c r="C38" s="30"/>
      <c r="D38" s="30"/>
      <c r="E38" s="30"/>
    </row>
    <row r="39" spans="2:9" x14ac:dyDescent="0.35">
      <c r="B39" s="30"/>
      <c r="C39" s="30"/>
      <c r="D39" s="30"/>
      <c r="E39" s="30"/>
    </row>
    <row r="41" spans="2:9" ht="16.5" x14ac:dyDescent="0.35">
      <c r="B41" s="19" t="s">
        <v>21</v>
      </c>
    </row>
    <row r="42" spans="2:9" ht="25.5" customHeight="1" x14ac:dyDescent="0.35">
      <c r="B42" s="8" t="s">
        <v>22</v>
      </c>
      <c r="C42" s="8"/>
      <c r="D42" s="8"/>
      <c r="E42" s="8"/>
      <c r="F42" s="8"/>
      <c r="G42" s="8"/>
      <c r="H42" s="8"/>
      <c r="I42" s="8"/>
    </row>
    <row r="43" spans="2:9" ht="25.5" customHeight="1" x14ac:dyDescent="0.35">
      <c r="B43" s="8" t="s">
        <v>23</v>
      </c>
      <c r="C43" s="8"/>
      <c r="D43" s="8"/>
      <c r="E43" s="8"/>
      <c r="F43" s="8"/>
      <c r="G43" s="8"/>
      <c r="H43" s="8"/>
      <c r="I43" s="8"/>
    </row>
    <row r="44" spans="2:9" ht="25.5" customHeight="1" x14ac:dyDescent="0.35">
      <c r="B44" s="8" t="s">
        <v>24</v>
      </c>
      <c r="C44" s="8"/>
      <c r="D44" s="8"/>
      <c r="E44" s="8"/>
      <c r="F44" s="8"/>
      <c r="G44" s="8"/>
      <c r="H44" s="8"/>
      <c r="I44" s="8"/>
    </row>
    <row r="45" spans="2:9" ht="25.5" customHeight="1" x14ac:dyDescent="0.35">
      <c r="B45" s="8" t="s">
        <v>25</v>
      </c>
      <c r="C45" s="8"/>
      <c r="D45" s="8"/>
      <c r="E45" s="8"/>
      <c r="F45" s="8"/>
      <c r="G45" s="8"/>
      <c r="H45" s="8"/>
      <c r="I45" s="8"/>
    </row>
    <row r="46" spans="2:9" ht="25.5" customHeight="1" x14ac:dyDescent="0.35">
      <c r="B46" s="8" t="s">
        <v>26</v>
      </c>
      <c r="C46" s="8"/>
      <c r="D46" s="8"/>
      <c r="E46" s="8"/>
      <c r="F46" s="8"/>
      <c r="G46" s="8"/>
      <c r="H46" s="8"/>
      <c r="I46" s="8"/>
    </row>
    <row r="47" spans="2:9" ht="25.5" customHeight="1" x14ac:dyDescent="0.35">
      <c r="B47" s="8" t="s">
        <v>27</v>
      </c>
      <c r="C47" s="8"/>
      <c r="D47" s="8"/>
      <c r="E47" s="8"/>
      <c r="F47" s="8"/>
      <c r="G47" s="8"/>
      <c r="H47" s="8"/>
      <c r="I47" s="8"/>
    </row>
    <row r="48" spans="2:9" ht="25.5" customHeight="1" x14ac:dyDescent="0.35">
      <c r="B48" s="8" t="s">
        <v>28</v>
      </c>
      <c r="C48" s="8"/>
      <c r="D48" s="8"/>
      <c r="E48" s="8"/>
      <c r="F48" s="8"/>
      <c r="G48" s="8"/>
      <c r="H48" s="8"/>
      <c r="I48" s="8"/>
    </row>
    <row r="49" spans="2:9" ht="25.5" customHeight="1" x14ac:dyDescent="0.35">
      <c r="B49" s="8" t="s">
        <v>29</v>
      </c>
      <c r="C49" s="8"/>
      <c r="D49" s="8"/>
      <c r="E49" s="8"/>
      <c r="F49" s="8"/>
      <c r="G49" s="8"/>
      <c r="H49" s="8"/>
      <c r="I49" s="8"/>
    </row>
    <row r="51" spans="2:9" x14ac:dyDescent="0.35">
      <c r="B51" s="31" t="s">
        <v>326</v>
      </c>
    </row>
  </sheetData>
  <mergeCells count="26">
    <mergeCell ref="B45:I45"/>
    <mergeCell ref="B46:I46"/>
    <mergeCell ref="B47:I47"/>
    <mergeCell ref="B48:I48"/>
    <mergeCell ref="B49:I49"/>
    <mergeCell ref="D23:E23"/>
    <mergeCell ref="D24:E24"/>
    <mergeCell ref="B42:I42"/>
    <mergeCell ref="B43:I43"/>
    <mergeCell ref="B44:I44"/>
    <mergeCell ref="D18:E18"/>
    <mergeCell ref="D19:E19"/>
    <mergeCell ref="D20:E20"/>
    <mergeCell ref="D21:E21"/>
    <mergeCell ref="D22:E22"/>
    <mergeCell ref="B11:E11"/>
    <mergeCell ref="F11:G11"/>
    <mergeCell ref="D15:E15"/>
    <mergeCell ref="D16:E16"/>
    <mergeCell ref="D17:E17"/>
    <mergeCell ref="B8:E8"/>
    <mergeCell ref="F8:G8"/>
    <mergeCell ref="B9:E9"/>
    <mergeCell ref="F9:G9"/>
    <mergeCell ref="B10:E10"/>
    <mergeCell ref="F10:G10"/>
  </mergeCells>
  <conditionalFormatting sqref="F15:F24">
    <cfRule type="colorScale" priority="2">
      <colorScale>
        <cfvo type="num" val="0"/>
        <cfvo type="num" val="0.7"/>
        <cfvo type="num" val="1"/>
        <color rgb="FFF8BBD0"/>
        <color rgb="FFFFF59D"/>
        <color rgb="FFA5D6A7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Lists!$F$2:$F$13</xm:f>
          </x14:formula1>
          <x14:formula2>
            <xm:f>0</xm:f>
          </x14:formula2>
          <xm:sqref>D5</xm:sqref>
        </x14:dataValidation>
        <x14:dataValidation type="list" allowBlank="1" xr:uid="{00000000-0002-0000-0000-000001000000}">
          <x14:formula1>
            <xm:f>Lists!$B$2:$B$23</xm:f>
          </x14:formula1>
          <x14:formula2>
            <xm:f>0</xm:f>
          </x14:formula2>
          <xm:sqref>B28:B39</xm:sqref>
        </x14:dataValidation>
        <x14:dataValidation type="list" allowBlank="1" xr:uid="{00000000-0002-0000-0000-000002000000}">
          <x14:formula1>
            <xm:f>Lists!$G$2:$G$11</xm:f>
          </x14:formula1>
          <x14:formula2>
            <xm:f>0</xm:f>
          </x14:formula2>
          <xm:sqref>C28:C39</xm:sqref>
        </x14:dataValidation>
        <x14:dataValidation type="list" allowBlank="1" xr:uid="{00000000-0002-0000-0000-000003000000}">
          <x14:formula1>
            <xm:f>Lists!$H$2:$H$5</xm:f>
          </x14:formula1>
          <x14:formula2>
            <xm:f>0</xm:f>
          </x14:formula2>
          <xm:sqref>D28:D39</xm:sqref>
        </x14:dataValidation>
        <x14:dataValidation type="list" allowBlank="1" xr:uid="{00000000-0002-0000-0000-000004000000}">
          <x14:formula1>
            <xm:f>Lists!$F$2:$F$13</xm:f>
          </x14:formula1>
          <x14:formula2>
            <xm:f>0</xm:f>
          </x14:formula2>
          <xm:sqref>E28:E39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3"/>
  <sheetViews>
    <sheetView zoomScaleNormal="100" workbookViewId="0"/>
  </sheetViews>
  <sheetFormatPr defaultColWidth="8.6328125" defaultRowHeight="14.5" x14ac:dyDescent="0.35"/>
  <sheetData>
    <row r="2" spans="1:8" x14ac:dyDescent="0.35">
      <c r="A2" t="s">
        <v>30</v>
      </c>
      <c r="B2" t="s">
        <v>31</v>
      </c>
      <c r="C2">
        <v>6</v>
      </c>
      <c r="D2" t="s">
        <v>32</v>
      </c>
      <c r="E2" t="s">
        <v>33</v>
      </c>
      <c r="F2">
        <v>1</v>
      </c>
      <c r="G2" t="str">
        <f ca="1">TEXT(TODAY()-6,"DD-MMM-YYYY")</f>
        <v>01-Jul-2026</v>
      </c>
      <c r="H2" t="s">
        <v>34</v>
      </c>
    </row>
    <row r="3" spans="1:8" x14ac:dyDescent="0.35">
      <c r="A3" t="s">
        <v>35</v>
      </c>
      <c r="B3" t="s">
        <v>36</v>
      </c>
      <c r="C3">
        <v>5</v>
      </c>
      <c r="D3" t="s">
        <v>37</v>
      </c>
      <c r="E3" t="s">
        <v>38</v>
      </c>
      <c r="F3">
        <v>2</v>
      </c>
      <c r="G3" t="str">
        <f ca="1">TEXT(TODAY()-5,"DD-MMM-YYYY")</f>
        <v>02-Jul-2026</v>
      </c>
      <c r="H3" t="s">
        <v>39</v>
      </c>
    </row>
    <row r="4" spans="1:8" x14ac:dyDescent="0.35">
      <c r="A4" t="s">
        <v>40</v>
      </c>
      <c r="B4" t="s">
        <v>41</v>
      </c>
      <c r="C4">
        <v>4</v>
      </c>
      <c r="D4" t="s">
        <v>42</v>
      </c>
      <c r="E4" t="s">
        <v>43</v>
      </c>
      <c r="F4">
        <v>3</v>
      </c>
      <c r="G4" t="str">
        <f ca="1">TEXT(TODAY()-4,"DD-MMM-YYYY")</f>
        <v>03-Jul-2026</v>
      </c>
      <c r="H4" t="s">
        <v>44</v>
      </c>
    </row>
    <row r="5" spans="1:8" x14ac:dyDescent="0.35">
      <c r="A5" t="s">
        <v>45</v>
      </c>
      <c r="B5" t="s">
        <v>46</v>
      </c>
      <c r="C5">
        <v>5</v>
      </c>
      <c r="D5" t="s">
        <v>47</v>
      </c>
      <c r="E5" t="s">
        <v>48</v>
      </c>
      <c r="F5">
        <v>4</v>
      </c>
      <c r="G5" t="str">
        <f ca="1">TEXT(TODAY()-3,"DD-MMM-YYYY")</f>
        <v>04-Jul-2026</v>
      </c>
      <c r="H5" t="s">
        <v>49</v>
      </c>
    </row>
    <row r="6" spans="1:8" x14ac:dyDescent="0.35">
      <c r="A6" t="s">
        <v>50</v>
      </c>
      <c r="B6" t="s">
        <v>51</v>
      </c>
      <c r="C6">
        <v>6</v>
      </c>
      <c r="D6" t="s">
        <v>52</v>
      </c>
      <c r="E6" t="s">
        <v>53</v>
      </c>
      <c r="F6">
        <v>5</v>
      </c>
      <c r="G6" t="str">
        <f ca="1">TEXT(TODAY()-2,"DD-MMM-YYYY")</f>
        <v>05-Jul-2026</v>
      </c>
    </row>
    <row r="7" spans="1:8" x14ac:dyDescent="0.35">
      <c r="A7" t="s">
        <v>54</v>
      </c>
      <c r="B7" t="s">
        <v>55</v>
      </c>
      <c r="C7">
        <v>4</v>
      </c>
      <c r="D7" t="s">
        <v>56</v>
      </c>
      <c r="E7" t="s">
        <v>57</v>
      </c>
      <c r="F7">
        <v>6</v>
      </c>
      <c r="G7" t="str">
        <f ca="1">TEXT(TODAY()-1,"DD-MMM-YYYY")</f>
        <v>06-Jul-2026</v>
      </c>
    </row>
    <row r="8" spans="1:8" x14ac:dyDescent="0.35">
      <c r="A8" t="s">
        <v>58</v>
      </c>
      <c r="B8" t="s">
        <v>59</v>
      </c>
      <c r="C8">
        <v>4</v>
      </c>
      <c r="D8" t="s">
        <v>60</v>
      </c>
      <c r="E8" t="s">
        <v>61</v>
      </c>
      <c r="F8">
        <v>7</v>
      </c>
      <c r="G8" t="str">
        <f ca="1">TEXT(TODAY()-0,"DD-MMM-YYYY")</f>
        <v>07-Jul-2026</v>
      </c>
    </row>
    <row r="9" spans="1:8" x14ac:dyDescent="0.35">
      <c r="A9" t="s">
        <v>62</v>
      </c>
      <c r="B9" t="s">
        <v>63</v>
      </c>
      <c r="C9">
        <v>4</v>
      </c>
      <c r="D9" t="s">
        <v>64</v>
      </c>
      <c r="E9" t="s">
        <v>65</v>
      </c>
      <c r="F9">
        <v>8</v>
      </c>
      <c r="G9" t="str">
        <f ca="1">TEXT(TODAY()--1,"DD-MMM-YYYY")</f>
        <v>08-Jul-2026</v>
      </c>
    </row>
    <row r="10" spans="1:8" x14ac:dyDescent="0.35">
      <c r="A10" t="s">
        <v>66</v>
      </c>
      <c r="B10" t="s">
        <v>67</v>
      </c>
      <c r="C10">
        <v>5</v>
      </c>
      <c r="D10" t="s">
        <v>68</v>
      </c>
      <c r="E10" t="s">
        <v>69</v>
      </c>
      <c r="F10">
        <v>9</v>
      </c>
      <c r="G10" t="str">
        <f ca="1">TEXT(TODAY()--2,"DD-MMM-YYYY")</f>
        <v>09-Jul-2026</v>
      </c>
    </row>
    <row r="11" spans="1:8" x14ac:dyDescent="0.35">
      <c r="A11" t="s">
        <v>70</v>
      </c>
      <c r="B11" t="s">
        <v>71</v>
      </c>
      <c r="C11">
        <v>6</v>
      </c>
      <c r="D11" t="s">
        <v>72</v>
      </c>
      <c r="E11" t="s">
        <v>73</v>
      </c>
      <c r="F11">
        <v>10</v>
      </c>
      <c r="G11" t="str">
        <f ca="1">TEXT(TODAY()--3,"DD-MMM-YYYY")</f>
        <v>10-Jul-2026</v>
      </c>
    </row>
    <row r="12" spans="1:8" x14ac:dyDescent="0.35">
      <c r="A12" t="s">
        <v>74</v>
      </c>
      <c r="B12" t="s">
        <v>75</v>
      </c>
      <c r="C12">
        <v>4</v>
      </c>
      <c r="D12" t="s">
        <v>76</v>
      </c>
      <c r="E12" t="s">
        <v>77</v>
      </c>
      <c r="F12">
        <v>11</v>
      </c>
    </row>
    <row r="13" spans="1:8" x14ac:dyDescent="0.35">
      <c r="A13" t="s">
        <v>78</v>
      </c>
      <c r="B13" t="s">
        <v>79</v>
      </c>
      <c r="C13">
        <v>4</v>
      </c>
      <c r="D13" t="s">
        <v>80</v>
      </c>
      <c r="E13" t="s">
        <v>81</v>
      </c>
      <c r="F13">
        <v>12</v>
      </c>
    </row>
    <row r="14" spans="1:8" x14ac:dyDescent="0.35">
      <c r="A14" t="s">
        <v>82</v>
      </c>
      <c r="B14" t="s">
        <v>83</v>
      </c>
      <c r="C14">
        <v>4</v>
      </c>
      <c r="D14" t="s">
        <v>84</v>
      </c>
      <c r="E14" t="s">
        <v>85</v>
      </c>
    </row>
    <row r="15" spans="1:8" x14ac:dyDescent="0.35">
      <c r="A15" t="s">
        <v>86</v>
      </c>
      <c r="B15" t="s">
        <v>87</v>
      </c>
      <c r="C15">
        <v>4</v>
      </c>
      <c r="D15" t="s">
        <v>88</v>
      </c>
      <c r="E15" t="s">
        <v>89</v>
      </c>
    </row>
    <row r="16" spans="1:8" x14ac:dyDescent="0.35">
      <c r="A16" t="s">
        <v>90</v>
      </c>
      <c r="B16" t="s">
        <v>91</v>
      </c>
      <c r="C16">
        <v>4</v>
      </c>
      <c r="D16" t="s">
        <v>92</v>
      </c>
      <c r="E16" t="s">
        <v>93</v>
      </c>
    </row>
    <row r="17" spans="1:5" x14ac:dyDescent="0.35">
      <c r="A17" t="s">
        <v>94</v>
      </c>
      <c r="B17" t="s">
        <v>95</v>
      </c>
      <c r="C17">
        <v>4</v>
      </c>
      <c r="D17" t="s">
        <v>96</v>
      </c>
      <c r="E17" t="s">
        <v>97</v>
      </c>
    </row>
    <row r="18" spans="1:5" x14ac:dyDescent="0.35">
      <c r="A18" t="s">
        <v>98</v>
      </c>
      <c r="B18" t="s">
        <v>99</v>
      </c>
      <c r="C18">
        <v>4</v>
      </c>
      <c r="D18" t="s">
        <v>100</v>
      </c>
      <c r="E18" t="s">
        <v>101</v>
      </c>
    </row>
    <row r="19" spans="1:5" x14ac:dyDescent="0.35">
      <c r="A19" t="s">
        <v>102</v>
      </c>
      <c r="B19" t="s">
        <v>103</v>
      </c>
      <c r="C19">
        <v>4</v>
      </c>
      <c r="D19" t="s">
        <v>104</v>
      </c>
      <c r="E19" t="s">
        <v>105</v>
      </c>
    </row>
    <row r="20" spans="1:5" x14ac:dyDescent="0.35">
      <c r="A20" t="s">
        <v>106</v>
      </c>
      <c r="B20" t="s">
        <v>107</v>
      </c>
      <c r="C20">
        <v>5</v>
      </c>
      <c r="D20" t="s">
        <v>108</v>
      </c>
      <c r="E20" t="s">
        <v>109</v>
      </c>
    </row>
    <row r="21" spans="1:5" x14ac:dyDescent="0.35">
      <c r="A21" t="s">
        <v>110</v>
      </c>
      <c r="B21" t="s">
        <v>111</v>
      </c>
      <c r="C21">
        <v>6</v>
      </c>
      <c r="D21" t="s">
        <v>112</v>
      </c>
      <c r="E21" t="s">
        <v>113</v>
      </c>
    </row>
    <row r="22" spans="1:5" x14ac:dyDescent="0.35">
      <c r="A22" t="s">
        <v>114</v>
      </c>
      <c r="B22" t="s">
        <v>115</v>
      </c>
      <c r="C22">
        <v>4</v>
      </c>
      <c r="D22" t="s">
        <v>116</v>
      </c>
      <c r="E22" t="s">
        <v>117</v>
      </c>
    </row>
    <row r="23" spans="1:5" x14ac:dyDescent="0.35">
      <c r="A23" t="s">
        <v>118</v>
      </c>
      <c r="B23" t="s">
        <v>119</v>
      </c>
      <c r="C23">
        <v>5</v>
      </c>
      <c r="D23" t="s">
        <v>120</v>
      </c>
      <c r="E23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185B"/>
  </sheetPr>
  <dimension ref="A1:I2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26" customWidth="1"/>
    <col min="3" max="3" width="10" customWidth="1"/>
    <col min="4" max="4" width="16" customWidth="1"/>
    <col min="5" max="6" width="13" customWidth="1"/>
    <col min="7" max="7" width="40" customWidth="1"/>
    <col min="8" max="8" width="32" customWidth="1"/>
  </cols>
  <sheetData>
    <row r="1" spans="1:9" ht="20" x14ac:dyDescent="0.4">
      <c r="A1" s="32" t="s">
        <v>122</v>
      </c>
      <c r="B1" s="14"/>
      <c r="C1" s="14"/>
      <c r="D1" s="14"/>
      <c r="E1" s="14"/>
      <c r="F1" s="14"/>
      <c r="G1" s="14"/>
      <c r="H1" s="14"/>
      <c r="I1" s="14"/>
    </row>
    <row r="2" spans="1:9" x14ac:dyDescent="0.35">
      <c r="A2" s="33" t="s">
        <v>123</v>
      </c>
    </row>
    <row r="3" spans="1:9" x14ac:dyDescent="0.35">
      <c r="A3" s="34" t="s">
        <v>124</v>
      </c>
      <c r="C3" s="7"/>
      <c r="D3" s="7"/>
      <c r="E3" s="7"/>
      <c r="F3" s="6" t="str">
        <f>IF($C$3="","pick a dish","Serves "&amp;INDEX(Lists!$C$2:$C$23,MATCH($C$3,Lists!$B$2:$B$23,0))&amp;"  |  "&amp;INDEX($D$6:$D$27,MATCH($C$3,$B$6:$B$27,0))&amp;"  |  "&amp;INDEX(Recipes!$H$6:$H$27,MATCH($C$3,$B$6:$B$27,0)))</f>
        <v>pick a dish</v>
      </c>
      <c r="G3" s="6"/>
      <c r="H3" s="6"/>
      <c r="I3" s="35" t="str">
        <f>IF($C$3="","",HYPERLINK("#'Recipe Card'!A1","Open Recipe Card &gt;"))</f>
        <v/>
      </c>
    </row>
    <row r="5" spans="1:9" x14ac:dyDescent="0.35">
      <c r="A5" s="20" t="s">
        <v>125</v>
      </c>
      <c r="B5" s="20" t="s">
        <v>126</v>
      </c>
      <c r="C5" s="20" t="s">
        <v>127</v>
      </c>
      <c r="D5" s="20" t="s">
        <v>128</v>
      </c>
      <c r="E5" s="20" t="s">
        <v>129</v>
      </c>
      <c r="F5" s="20" t="s">
        <v>130</v>
      </c>
      <c r="G5" s="20" t="s">
        <v>131</v>
      </c>
      <c r="H5" s="20" t="s">
        <v>132</v>
      </c>
    </row>
    <row r="6" spans="1:9" ht="172.5" x14ac:dyDescent="0.35">
      <c r="A6" s="36" t="s">
        <v>30</v>
      </c>
      <c r="B6" s="37" t="s">
        <v>31</v>
      </c>
      <c r="C6" s="38">
        <v>6</v>
      </c>
      <c r="D6" s="36" t="s">
        <v>133</v>
      </c>
      <c r="E6" s="39" t="s">
        <v>134</v>
      </c>
      <c r="F6" s="39" t="s">
        <v>135</v>
      </c>
      <c r="G6" s="40" t="s">
        <v>136</v>
      </c>
      <c r="H6" s="41" t="s">
        <v>137</v>
      </c>
    </row>
    <row r="7" spans="1:9" ht="138" x14ac:dyDescent="0.35">
      <c r="A7" s="42" t="s">
        <v>35</v>
      </c>
      <c r="B7" s="28" t="s">
        <v>36</v>
      </c>
      <c r="C7" s="43">
        <v>5</v>
      </c>
      <c r="D7" s="42" t="s">
        <v>138</v>
      </c>
      <c r="E7" s="25" t="s">
        <v>134</v>
      </c>
      <c r="F7" s="25" t="s">
        <v>135</v>
      </c>
      <c r="G7" s="44" t="s">
        <v>139</v>
      </c>
      <c r="H7" s="45" t="s">
        <v>140</v>
      </c>
    </row>
    <row r="8" spans="1:9" ht="138" x14ac:dyDescent="0.35">
      <c r="A8" s="36" t="s">
        <v>40</v>
      </c>
      <c r="B8" s="37" t="s">
        <v>41</v>
      </c>
      <c r="C8" s="38">
        <v>4</v>
      </c>
      <c r="D8" s="36" t="s">
        <v>141</v>
      </c>
      <c r="E8" s="39" t="s">
        <v>134</v>
      </c>
      <c r="F8" s="39" t="s">
        <v>135</v>
      </c>
      <c r="G8" s="40" t="s">
        <v>142</v>
      </c>
      <c r="H8" s="41" t="s">
        <v>143</v>
      </c>
    </row>
    <row r="9" spans="1:9" ht="161" x14ac:dyDescent="0.35">
      <c r="A9" s="42" t="s">
        <v>45</v>
      </c>
      <c r="B9" s="28" t="s">
        <v>46</v>
      </c>
      <c r="C9" s="43">
        <v>5</v>
      </c>
      <c r="D9" s="42" t="s">
        <v>144</v>
      </c>
      <c r="E9" s="25" t="s">
        <v>134</v>
      </c>
      <c r="F9" s="25" t="s">
        <v>135</v>
      </c>
      <c r="G9" s="44" t="s">
        <v>145</v>
      </c>
      <c r="H9" s="45" t="s">
        <v>146</v>
      </c>
    </row>
    <row r="10" spans="1:9" ht="138" x14ac:dyDescent="0.35">
      <c r="A10" s="36" t="s">
        <v>50</v>
      </c>
      <c r="B10" s="37" t="s">
        <v>51</v>
      </c>
      <c r="C10" s="38">
        <v>6</v>
      </c>
      <c r="D10" s="36" t="s">
        <v>138</v>
      </c>
      <c r="E10" s="39" t="s">
        <v>134</v>
      </c>
      <c r="F10" s="39" t="s">
        <v>135</v>
      </c>
      <c r="G10" s="40" t="s">
        <v>147</v>
      </c>
      <c r="H10" s="41" t="s">
        <v>148</v>
      </c>
    </row>
    <row r="11" spans="1:9" ht="138" x14ac:dyDescent="0.35">
      <c r="A11" s="42" t="s">
        <v>54</v>
      </c>
      <c r="B11" s="28" t="s">
        <v>55</v>
      </c>
      <c r="C11" s="43">
        <v>4</v>
      </c>
      <c r="D11" s="42" t="s">
        <v>149</v>
      </c>
      <c r="E11" s="25" t="s">
        <v>134</v>
      </c>
      <c r="F11" s="25" t="s">
        <v>135</v>
      </c>
      <c r="G11" s="44" t="s">
        <v>150</v>
      </c>
      <c r="H11" s="45" t="s">
        <v>151</v>
      </c>
    </row>
    <row r="12" spans="1:9" ht="138" x14ac:dyDescent="0.35">
      <c r="A12" s="36" t="s">
        <v>58</v>
      </c>
      <c r="B12" s="37" t="s">
        <v>59</v>
      </c>
      <c r="C12" s="38">
        <v>4</v>
      </c>
      <c r="D12" s="36" t="s">
        <v>144</v>
      </c>
      <c r="E12" s="39" t="s">
        <v>134</v>
      </c>
      <c r="F12" s="39" t="s">
        <v>135</v>
      </c>
      <c r="G12" s="40" t="s">
        <v>152</v>
      </c>
      <c r="H12" s="41" t="s">
        <v>153</v>
      </c>
    </row>
    <row r="13" spans="1:9" ht="138" x14ac:dyDescent="0.35">
      <c r="A13" s="42" t="s">
        <v>62</v>
      </c>
      <c r="B13" s="28" t="s">
        <v>63</v>
      </c>
      <c r="C13" s="43">
        <v>4</v>
      </c>
      <c r="D13" s="42" t="s">
        <v>154</v>
      </c>
      <c r="E13" s="25" t="s">
        <v>134</v>
      </c>
      <c r="F13" s="25" t="s">
        <v>135</v>
      </c>
      <c r="G13" s="44" t="s">
        <v>155</v>
      </c>
      <c r="H13" s="45" t="s">
        <v>156</v>
      </c>
    </row>
    <row r="14" spans="1:9" ht="161" x14ac:dyDescent="0.35">
      <c r="A14" s="36" t="s">
        <v>66</v>
      </c>
      <c r="B14" s="37" t="s">
        <v>67</v>
      </c>
      <c r="C14" s="38">
        <v>5</v>
      </c>
      <c r="D14" s="36" t="s">
        <v>157</v>
      </c>
      <c r="E14" s="39" t="s">
        <v>134</v>
      </c>
      <c r="F14" s="39" t="s">
        <v>135</v>
      </c>
      <c r="G14" s="40" t="s">
        <v>158</v>
      </c>
      <c r="H14" s="41" t="s">
        <v>159</v>
      </c>
    </row>
    <row r="15" spans="1:9" ht="172.5" x14ac:dyDescent="0.35">
      <c r="A15" s="42" t="s">
        <v>70</v>
      </c>
      <c r="B15" s="28" t="s">
        <v>71</v>
      </c>
      <c r="C15" s="43">
        <v>6</v>
      </c>
      <c r="D15" s="42" t="s">
        <v>138</v>
      </c>
      <c r="E15" s="25" t="s">
        <v>134</v>
      </c>
      <c r="F15" s="25" t="s">
        <v>135</v>
      </c>
      <c r="G15" s="44" t="s">
        <v>160</v>
      </c>
      <c r="H15" s="45" t="s">
        <v>161</v>
      </c>
    </row>
    <row r="16" spans="1:9" ht="161" x14ac:dyDescent="0.35">
      <c r="A16" s="36" t="s">
        <v>74</v>
      </c>
      <c r="B16" s="37" t="s">
        <v>75</v>
      </c>
      <c r="C16" s="38">
        <v>4</v>
      </c>
      <c r="D16" s="36" t="s">
        <v>154</v>
      </c>
      <c r="E16" s="39" t="s">
        <v>134</v>
      </c>
      <c r="F16" s="39" t="s">
        <v>135</v>
      </c>
      <c r="G16" s="40" t="s">
        <v>162</v>
      </c>
      <c r="H16" s="41" t="s">
        <v>163</v>
      </c>
    </row>
    <row r="17" spans="1:8" ht="126.5" x14ac:dyDescent="0.35">
      <c r="A17" s="42" t="s">
        <v>78</v>
      </c>
      <c r="B17" s="28" t="s">
        <v>79</v>
      </c>
      <c r="C17" s="43">
        <v>4</v>
      </c>
      <c r="D17" s="42" t="s">
        <v>164</v>
      </c>
      <c r="E17" s="25" t="s">
        <v>134</v>
      </c>
      <c r="F17" s="25" t="s">
        <v>135</v>
      </c>
      <c r="G17" s="44" t="s">
        <v>165</v>
      </c>
      <c r="H17" s="45" t="s">
        <v>166</v>
      </c>
    </row>
    <row r="18" spans="1:8" ht="138" x14ac:dyDescent="0.35">
      <c r="A18" s="36" t="s">
        <v>82</v>
      </c>
      <c r="B18" s="37" t="s">
        <v>83</v>
      </c>
      <c r="C18" s="38">
        <v>4</v>
      </c>
      <c r="D18" s="36" t="s">
        <v>167</v>
      </c>
      <c r="E18" s="39" t="s">
        <v>134</v>
      </c>
      <c r="F18" s="39" t="s">
        <v>135</v>
      </c>
      <c r="G18" s="40" t="s">
        <v>168</v>
      </c>
      <c r="H18" s="41" t="s">
        <v>169</v>
      </c>
    </row>
    <row r="19" spans="1:8" ht="126.5" x14ac:dyDescent="0.35">
      <c r="A19" s="42" t="s">
        <v>86</v>
      </c>
      <c r="B19" s="28" t="s">
        <v>87</v>
      </c>
      <c r="C19" s="43">
        <v>4</v>
      </c>
      <c r="D19" s="42" t="s">
        <v>144</v>
      </c>
      <c r="E19" s="25" t="s">
        <v>134</v>
      </c>
      <c r="F19" s="25" t="s">
        <v>135</v>
      </c>
      <c r="G19" s="44" t="s">
        <v>170</v>
      </c>
      <c r="H19" s="45" t="s">
        <v>171</v>
      </c>
    </row>
    <row r="20" spans="1:8" ht="138" x14ac:dyDescent="0.35">
      <c r="A20" s="36" t="s">
        <v>90</v>
      </c>
      <c r="B20" s="37" t="s">
        <v>91</v>
      </c>
      <c r="C20" s="38">
        <v>4</v>
      </c>
      <c r="D20" s="36" t="s">
        <v>164</v>
      </c>
      <c r="E20" s="39" t="s">
        <v>134</v>
      </c>
      <c r="F20" s="39" t="s">
        <v>135</v>
      </c>
      <c r="G20" s="40" t="s">
        <v>172</v>
      </c>
      <c r="H20" s="41" t="s">
        <v>173</v>
      </c>
    </row>
    <row r="21" spans="1:8" ht="161" x14ac:dyDescent="0.35">
      <c r="A21" s="42" t="s">
        <v>94</v>
      </c>
      <c r="B21" s="28" t="s">
        <v>95</v>
      </c>
      <c r="C21" s="43">
        <v>4</v>
      </c>
      <c r="D21" s="42" t="s">
        <v>167</v>
      </c>
      <c r="E21" s="25" t="s">
        <v>134</v>
      </c>
      <c r="F21" s="25" t="s">
        <v>135</v>
      </c>
      <c r="G21" s="44" t="s">
        <v>174</v>
      </c>
      <c r="H21" s="45" t="s">
        <v>175</v>
      </c>
    </row>
    <row r="22" spans="1:8" ht="138" x14ac:dyDescent="0.35">
      <c r="A22" s="36" t="s">
        <v>98</v>
      </c>
      <c r="B22" s="37" t="s">
        <v>99</v>
      </c>
      <c r="C22" s="38">
        <v>4</v>
      </c>
      <c r="D22" s="36" t="s">
        <v>176</v>
      </c>
      <c r="E22" s="39" t="s">
        <v>134</v>
      </c>
      <c r="F22" s="39" t="s">
        <v>135</v>
      </c>
      <c r="G22" s="40" t="s">
        <v>177</v>
      </c>
      <c r="H22" s="41" t="s">
        <v>178</v>
      </c>
    </row>
    <row r="23" spans="1:8" ht="126.5" x14ac:dyDescent="0.35">
      <c r="A23" s="42" t="s">
        <v>102</v>
      </c>
      <c r="B23" s="28" t="s">
        <v>103</v>
      </c>
      <c r="C23" s="43">
        <v>4</v>
      </c>
      <c r="D23" s="42" t="s">
        <v>179</v>
      </c>
      <c r="E23" s="25" t="s">
        <v>134</v>
      </c>
      <c r="F23" s="25" t="s">
        <v>135</v>
      </c>
      <c r="G23" s="44" t="s">
        <v>180</v>
      </c>
      <c r="H23" s="45" t="s">
        <v>181</v>
      </c>
    </row>
    <row r="24" spans="1:8" ht="172.5" x14ac:dyDescent="0.35">
      <c r="A24" s="36" t="s">
        <v>106</v>
      </c>
      <c r="B24" s="37" t="s">
        <v>107</v>
      </c>
      <c r="C24" s="38">
        <v>5</v>
      </c>
      <c r="D24" s="36" t="s">
        <v>138</v>
      </c>
      <c r="E24" s="39" t="s">
        <v>134</v>
      </c>
      <c r="F24" s="39" t="s">
        <v>135</v>
      </c>
      <c r="G24" s="40" t="s">
        <v>182</v>
      </c>
      <c r="H24" s="41" t="s">
        <v>183</v>
      </c>
    </row>
    <row r="25" spans="1:8" ht="138" x14ac:dyDescent="0.35">
      <c r="A25" s="42" t="s">
        <v>110</v>
      </c>
      <c r="B25" s="28" t="s">
        <v>111</v>
      </c>
      <c r="C25" s="43">
        <v>6</v>
      </c>
      <c r="D25" s="42" t="s">
        <v>184</v>
      </c>
      <c r="E25" s="25" t="s">
        <v>134</v>
      </c>
      <c r="F25" s="25" t="s">
        <v>135</v>
      </c>
      <c r="G25" s="44" t="s">
        <v>185</v>
      </c>
      <c r="H25" s="45" t="s">
        <v>186</v>
      </c>
    </row>
    <row r="26" spans="1:8" ht="138" x14ac:dyDescent="0.35">
      <c r="A26" s="36" t="s">
        <v>114</v>
      </c>
      <c r="B26" s="37" t="s">
        <v>115</v>
      </c>
      <c r="C26" s="38">
        <v>4</v>
      </c>
      <c r="D26" s="36" t="s">
        <v>154</v>
      </c>
      <c r="E26" s="39" t="s">
        <v>134</v>
      </c>
      <c r="F26" s="39" t="s">
        <v>135</v>
      </c>
      <c r="G26" s="40" t="s">
        <v>187</v>
      </c>
      <c r="H26" s="41" t="s">
        <v>188</v>
      </c>
    </row>
    <row r="27" spans="1:8" ht="115" x14ac:dyDescent="0.35">
      <c r="A27" s="42" t="s">
        <v>118</v>
      </c>
      <c r="B27" s="28" t="s">
        <v>119</v>
      </c>
      <c r="C27" s="43">
        <v>5</v>
      </c>
      <c r="D27" s="42" t="s">
        <v>189</v>
      </c>
      <c r="E27" s="25" t="s">
        <v>134</v>
      </c>
      <c r="F27" s="25" t="s">
        <v>135</v>
      </c>
      <c r="G27" s="44" t="s">
        <v>190</v>
      </c>
      <c r="H27" s="45" t="s">
        <v>191</v>
      </c>
    </row>
  </sheetData>
  <mergeCells count="2">
    <mergeCell ref="C3:E3"/>
    <mergeCell ref="F3:H3"/>
  </mergeCells>
  <hyperlinks>
    <hyperlink ref="E6" r:id="rId1" xr:uid="{00000000-0004-0000-0200-000000000000}"/>
    <hyperlink ref="F6" r:id="rId2" xr:uid="{00000000-0004-0000-0200-000001000000}"/>
    <hyperlink ref="E7" r:id="rId3" xr:uid="{00000000-0004-0000-0200-000002000000}"/>
    <hyperlink ref="F7" r:id="rId4" xr:uid="{00000000-0004-0000-0200-000003000000}"/>
    <hyperlink ref="E8" r:id="rId5" xr:uid="{00000000-0004-0000-0200-000004000000}"/>
    <hyperlink ref="F8" r:id="rId6" xr:uid="{00000000-0004-0000-0200-000005000000}"/>
    <hyperlink ref="E9" r:id="rId7" xr:uid="{00000000-0004-0000-0200-000006000000}"/>
    <hyperlink ref="F9" r:id="rId8" xr:uid="{00000000-0004-0000-0200-000007000000}"/>
    <hyperlink ref="E10" r:id="rId9" xr:uid="{00000000-0004-0000-0200-000008000000}"/>
    <hyperlink ref="F10" r:id="rId10" xr:uid="{00000000-0004-0000-0200-000009000000}"/>
    <hyperlink ref="E11" r:id="rId11" xr:uid="{00000000-0004-0000-0200-00000A000000}"/>
    <hyperlink ref="F11" r:id="rId12" xr:uid="{00000000-0004-0000-0200-00000B000000}"/>
    <hyperlink ref="E12" r:id="rId13" xr:uid="{00000000-0004-0000-0200-00000C000000}"/>
    <hyperlink ref="F12" r:id="rId14" xr:uid="{00000000-0004-0000-0200-00000D000000}"/>
    <hyperlink ref="E13" r:id="rId15" xr:uid="{00000000-0004-0000-0200-00000E000000}"/>
    <hyperlink ref="F13" r:id="rId16" xr:uid="{00000000-0004-0000-0200-00000F000000}"/>
    <hyperlink ref="E14" r:id="rId17" xr:uid="{00000000-0004-0000-0200-000010000000}"/>
    <hyperlink ref="F14" r:id="rId18" xr:uid="{00000000-0004-0000-0200-000011000000}"/>
    <hyperlink ref="E15" r:id="rId19" xr:uid="{00000000-0004-0000-0200-000012000000}"/>
    <hyperlink ref="F15" r:id="rId20" xr:uid="{00000000-0004-0000-0200-000013000000}"/>
    <hyperlink ref="E16" r:id="rId21" xr:uid="{00000000-0004-0000-0200-000014000000}"/>
    <hyperlink ref="F16" r:id="rId22" xr:uid="{00000000-0004-0000-0200-000015000000}"/>
    <hyperlink ref="E17" r:id="rId23" xr:uid="{00000000-0004-0000-0200-000016000000}"/>
    <hyperlink ref="F17" r:id="rId24" xr:uid="{00000000-0004-0000-0200-000017000000}"/>
    <hyperlink ref="E18" r:id="rId25" xr:uid="{00000000-0004-0000-0200-000018000000}"/>
    <hyperlink ref="F18" r:id="rId26" xr:uid="{00000000-0004-0000-0200-000019000000}"/>
    <hyperlink ref="E19" r:id="rId27" xr:uid="{00000000-0004-0000-0200-00001A000000}"/>
    <hyperlink ref="F19" r:id="rId28" xr:uid="{00000000-0004-0000-0200-00001B000000}"/>
    <hyperlink ref="E20" r:id="rId29" xr:uid="{00000000-0004-0000-0200-00001C000000}"/>
    <hyperlink ref="F20" r:id="rId30" xr:uid="{00000000-0004-0000-0200-00001D000000}"/>
    <hyperlink ref="E21" r:id="rId31" xr:uid="{00000000-0004-0000-0200-00001E000000}"/>
    <hyperlink ref="F21" r:id="rId32" xr:uid="{00000000-0004-0000-0200-00001F000000}"/>
    <hyperlink ref="E22" r:id="rId33" xr:uid="{00000000-0004-0000-0200-000020000000}"/>
    <hyperlink ref="F22" r:id="rId34" xr:uid="{00000000-0004-0000-0200-000021000000}"/>
    <hyperlink ref="E23" r:id="rId35" xr:uid="{00000000-0004-0000-0200-000022000000}"/>
    <hyperlink ref="F23" r:id="rId36" xr:uid="{00000000-0004-0000-0200-000023000000}"/>
    <hyperlink ref="E24" r:id="rId37" xr:uid="{00000000-0004-0000-0200-000024000000}"/>
    <hyperlink ref="F24" r:id="rId38" xr:uid="{00000000-0004-0000-0200-000025000000}"/>
    <hyperlink ref="E25" r:id="rId39" xr:uid="{00000000-0004-0000-0200-000026000000}"/>
    <hyperlink ref="F25" r:id="rId40" xr:uid="{00000000-0004-0000-0200-000027000000}"/>
    <hyperlink ref="E26" r:id="rId41" xr:uid="{00000000-0004-0000-0200-000028000000}"/>
    <hyperlink ref="F26" r:id="rId42" xr:uid="{00000000-0004-0000-0200-000029000000}"/>
    <hyperlink ref="E27" r:id="rId43" xr:uid="{00000000-0004-0000-0200-00002A000000}"/>
    <hyperlink ref="F27" r:id="rId44" xr:uid="{00000000-0004-0000-0200-00002B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="Type or pick a dish" xr:uid="{00000000-0002-0000-0200-000000000000}">
          <x14:formula1>
            <xm:f>Lists!$B$2:$B$23</xm:f>
          </x14:formula1>
          <x14:formula2>
            <xm:f>0</xm:f>
          </x14:formula2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E9E9E"/>
  </sheetPr>
  <dimension ref="A1:M278"/>
  <sheetViews>
    <sheetView zoomScaleNormal="100" workbookViewId="0"/>
  </sheetViews>
  <sheetFormatPr defaultColWidth="8.6328125" defaultRowHeight="14.5" x14ac:dyDescent="0.35"/>
  <cols>
    <col min="1" max="1" width="9" customWidth="1"/>
    <col min="2" max="2" width="24" customWidth="1"/>
    <col min="3" max="3" width="22" customWidth="1"/>
    <col min="4" max="4" width="9" customWidth="1"/>
    <col min="5" max="6" width="7" customWidth="1"/>
    <col min="7" max="7" width="10" customWidth="1"/>
    <col min="8" max="8" width="12" customWidth="1"/>
    <col min="9" max="10" width="9" customWidth="1"/>
    <col min="11" max="11" width="10" customWidth="1"/>
    <col min="12" max="13" width="9" customWidth="1"/>
  </cols>
  <sheetData>
    <row r="1" spans="1:13" x14ac:dyDescent="0.35">
      <c r="A1" s="46" t="s">
        <v>192</v>
      </c>
    </row>
    <row r="2" spans="1:13" x14ac:dyDescent="0.35">
      <c r="A2" s="20" t="s">
        <v>125</v>
      </c>
      <c r="B2" s="20" t="s">
        <v>126</v>
      </c>
      <c r="C2" s="20" t="s">
        <v>193</v>
      </c>
      <c r="D2" s="20" t="s">
        <v>194</v>
      </c>
      <c r="E2" s="20" t="s">
        <v>195</v>
      </c>
      <c r="F2" s="20" t="s">
        <v>196</v>
      </c>
      <c r="G2" s="20" t="s">
        <v>197</v>
      </c>
      <c r="H2" s="20" t="s">
        <v>198</v>
      </c>
      <c r="I2" s="20" t="s">
        <v>199</v>
      </c>
      <c r="J2" s="20" t="s">
        <v>200</v>
      </c>
      <c r="K2" s="20" t="s">
        <v>201</v>
      </c>
      <c r="L2" s="20" t="s">
        <v>202</v>
      </c>
      <c r="M2" s="20" t="s">
        <v>203</v>
      </c>
    </row>
    <row r="3" spans="1:13" x14ac:dyDescent="0.35">
      <c r="A3" t="s">
        <v>30</v>
      </c>
      <c r="B3" t="s">
        <v>31</v>
      </c>
      <c r="C3" t="s">
        <v>204</v>
      </c>
      <c r="D3">
        <v>1</v>
      </c>
      <c r="E3" t="s">
        <v>205</v>
      </c>
      <c r="F3">
        <v>6</v>
      </c>
      <c r="G3">
        <f t="shared" ref="G3:G66" si="0">$D3/$F3</f>
        <v>0.16666666666666666</v>
      </c>
      <c r="H3">
        <f>SUMIFS(Home!$E$28:$E$39,Home!$B$28:$B$39,$B3)</f>
        <v>0</v>
      </c>
      <c r="I3">
        <f t="shared" ref="I3:I66" si="1">$G3*$H3</f>
        <v>0</v>
      </c>
      <c r="J3">
        <f>$G3*Home!$D$5</f>
        <v>0.16666666666666666</v>
      </c>
      <c r="K3">
        <f>INDEX(Pantry!$I$7:$I$68,MATCH($C3,Pantry!$A$7:$A$68,0))</f>
        <v>1</v>
      </c>
      <c r="L3">
        <f t="shared" ref="L3:L66" si="2">IF($K3&gt;=$J3-0.0001,1,0)</f>
        <v>1</v>
      </c>
      <c r="M3">
        <f t="shared" ref="M3:M66" si="3">MAX(0,$J3-$K3)</f>
        <v>0</v>
      </c>
    </row>
    <row r="4" spans="1:13" x14ac:dyDescent="0.35">
      <c r="A4" t="s">
        <v>30</v>
      </c>
      <c r="B4" t="s">
        <v>31</v>
      </c>
      <c r="C4" t="s">
        <v>206</v>
      </c>
      <c r="D4">
        <v>0.75</v>
      </c>
      <c r="E4" t="s">
        <v>205</v>
      </c>
      <c r="F4">
        <v>6</v>
      </c>
      <c r="G4">
        <f t="shared" si="0"/>
        <v>0.125</v>
      </c>
      <c r="H4">
        <f>SUMIFS(Home!$E$28:$E$39,Home!$B$28:$B$39,$B4)</f>
        <v>0</v>
      </c>
      <c r="I4">
        <f t="shared" si="1"/>
        <v>0</v>
      </c>
      <c r="J4">
        <f>$G4*Home!$D$5</f>
        <v>0.125</v>
      </c>
      <c r="K4">
        <f>INDEX(Pantry!$I$7:$I$68,MATCH($C4,Pantry!$A$7:$A$68,0))</f>
        <v>3</v>
      </c>
      <c r="L4">
        <f t="shared" si="2"/>
        <v>1</v>
      </c>
      <c r="M4">
        <f t="shared" si="3"/>
        <v>0</v>
      </c>
    </row>
    <row r="5" spans="1:13" x14ac:dyDescent="0.35">
      <c r="A5" t="s">
        <v>30</v>
      </c>
      <c r="B5" t="s">
        <v>31</v>
      </c>
      <c r="C5" t="s">
        <v>207</v>
      </c>
      <c r="D5">
        <v>3</v>
      </c>
      <c r="E5" t="s">
        <v>208</v>
      </c>
      <c r="F5">
        <v>6</v>
      </c>
      <c r="G5">
        <f t="shared" si="0"/>
        <v>0.5</v>
      </c>
      <c r="H5">
        <f>SUMIFS(Home!$E$28:$E$39,Home!$B$28:$B$39,$B5)</f>
        <v>0</v>
      </c>
      <c r="I5">
        <f t="shared" si="1"/>
        <v>0</v>
      </c>
      <c r="J5">
        <f>$G5*Home!$D$5</f>
        <v>0.5</v>
      </c>
      <c r="K5">
        <f>INDEX(Pantry!$I$7:$I$68,MATCH($C5,Pantry!$A$7:$A$68,0))</f>
        <v>6</v>
      </c>
      <c r="L5">
        <f t="shared" si="2"/>
        <v>1</v>
      </c>
      <c r="M5">
        <f t="shared" si="3"/>
        <v>0</v>
      </c>
    </row>
    <row r="6" spans="1:13" x14ac:dyDescent="0.35">
      <c r="A6" t="s">
        <v>30</v>
      </c>
      <c r="B6" t="s">
        <v>31</v>
      </c>
      <c r="C6" t="s">
        <v>209</v>
      </c>
      <c r="D6">
        <v>3</v>
      </c>
      <c r="E6" t="s">
        <v>208</v>
      </c>
      <c r="F6">
        <v>6</v>
      </c>
      <c r="G6">
        <f t="shared" si="0"/>
        <v>0.5</v>
      </c>
      <c r="H6">
        <f>SUMIFS(Home!$E$28:$E$39,Home!$B$28:$B$39,$B6)</f>
        <v>0</v>
      </c>
      <c r="I6">
        <f t="shared" si="1"/>
        <v>0</v>
      </c>
      <c r="J6">
        <f>$G6*Home!$D$5</f>
        <v>0.5</v>
      </c>
      <c r="K6">
        <f>INDEX(Pantry!$I$7:$I$68,MATCH($C6,Pantry!$A$7:$A$68,0))</f>
        <v>4</v>
      </c>
      <c r="L6">
        <f t="shared" si="2"/>
        <v>1</v>
      </c>
      <c r="M6">
        <f t="shared" si="3"/>
        <v>0</v>
      </c>
    </row>
    <row r="7" spans="1:13" x14ac:dyDescent="0.35">
      <c r="A7" t="s">
        <v>30</v>
      </c>
      <c r="B7" t="s">
        <v>31</v>
      </c>
      <c r="C7" t="s">
        <v>210</v>
      </c>
      <c r="D7">
        <v>1</v>
      </c>
      <c r="E7" t="s">
        <v>211</v>
      </c>
      <c r="F7">
        <v>6</v>
      </c>
      <c r="G7">
        <f t="shared" si="0"/>
        <v>0.16666666666666666</v>
      </c>
      <c r="H7">
        <f>SUMIFS(Home!$E$28:$E$39,Home!$B$28:$B$39,$B7)</f>
        <v>0</v>
      </c>
      <c r="I7">
        <f t="shared" si="1"/>
        <v>0</v>
      </c>
      <c r="J7">
        <f>$G7*Home!$D$5</f>
        <v>0.16666666666666666</v>
      </c>
      <c r="K7">
        <f>INDEX(Pantry!$I$7:$I$68,MATCH($C7,Pantry!$A$7:$A$68,0))</f>
        <v>2</v>
      </c>
      <c r="L7">
        <f t="shared" si="2"/>
        <v>1</v>
      </c>
      <c r="M7">
        <f t="shared" si="3"/>
        <v>0</v>
      </c>
    </row>
    <row r="8" spans="1:13" x14ac:dyDescent="0.35">
      <c r="A8" t="s">
        <v>30</v>
      </c>
      <c r="B8" t="s">
        <v>31</v>
      </c>
      <c r="C8" t="s">
        <v>212</v>
      </c>
      <c r="D8">
        <v>2</v>
      </c>
      <c r="E8" t="s">
        <v>213</v>
      </c>
      <c r="F8">
        <v>6</v>
      </c>
      <c r="G8">
        <f t="shared" si="0"/>
        <v>0.33333333333333331</v>
      </c>
      <c r="H8">
        <f>SUMIFS(Home!$E$28:$E$39,Home!$B$28:$B$39,$B8)</f>
        <v>0</v>
      </c>
      <c r="I8">
        <f t="shared" si="1"/>
        <v>0</v>
      </c>
      <c r="J8">
        <f>$G8*Home!$D$5</f>
        <v>0.33333333333333331</v>
      </c>
      <c r="K8">
        <f>INDEX(Pantry!$I$7:$I$68,MATCH($C8,Pantry!$A$7:$A$68,0))</f>
        <v>1</v>
      </c>
      <c r="L8">
        <f t="shared" si="2"/>
        <v>1</v>
      </c>
      <c r="M8">
        <f t="shared" si="3"/>
        <v>0</v>
      </c>
    </row>
    <row r="9" spans="1:13" x14ac:dyDescent="0.35">
      <c r="A9" t="s">
        <v>30</v>
      </c>
      <c r="B9" t="s">
        <v>31</v>
      </c>
      <c r="C9" t="s">
        <v>214</v>
      </c>
      <c r="D9">
        <v>3</v>
      </c>
      <c r="E9" t="s">
        <v>213</v>
      </c>
      <c r="F9">
        <v>6</v>
      </c>
      <c r="G9">
        <f t="shared" si="0"/>
        <v>0.5</v>
      </c>
      <c r="H9">
        <f>SUMIFS(Home!$E$28:$E$39,Home!$B$28:$B$39,$B9)</f>
        <v>0</v>
      </c>
      <c r="I9">
        <f t="shared" si="1"/>
        <v>0</v>
      </c>
      <c r="J9">
        <f>$G9*Home!$D$5</f>
        <v>0.5</v>
      </c>
      <c r="K9">
        <f>INDEX(Pantry!$I$7:$I$68,MATCH($C9,Pantry!$A$7:$A$68,0))</f>
        <v>2</v>
      </c>
      <c r="L9">
        <f t="shared" si="2"/>
        <v>1</v>
      </c>
      <c r="M9">
        <f t="shared" si="3"/>
        <v>0</v>
      </c>
    </row>
    <row r="10" spans="1:13" x14ac:dyDescent="0.35">
      <c r="A10" t="s">
        <v>30</v>
      </c>
      <c r="B10" t="s">
        <v>31</v>
      </c>
      <c r="C10" t="s">
        <v>215</v>
      </c>
      <c r="D10">
        <v>1</v>
      </c>
      <c r="E10" t="s">
        <v>211</v>
      </c>
      <c r="F10">
        <v>6</v>
      </c>
      <c r="G10">
        <f t="shared" si="0"/>
        <v>0.16666666666666666</v>
      </c>
      <c r="H10">
        <f>SUMIFS(Home!$E$28:$E$39,Home!$B$28:$B$39,$B10)</f>
        <v>0</v>
      </c>
      <c r="I10">
        <f t="shared" si="1"/>
        <v>0</v>
      </c>
      <c r="J10">
        <f>$G10*Home!$D$5</f>
        <v>0.16666666666666666</v>
      </c>
      <c r="K10">
        <f>INDEX(Pantry!$I$7:$I$68,MATCH($C10,Pantry!$A$7:$A$68,0))</f>
        <v>5</v>
      </c>
      <c r="L10">
        <f t="shared" si="2"/>
        <v>1</v>
      </c>
      <c r="M10">
        <f t="shared" si="3"/>
        <v>0</v>
      </c>
    </row>
    <row r="11" spans="1:13" x14ac:dyDescent="0.35">
      <c r="A11" t="s">
        <v>30</v>
      </c>
      <c r="B11" t="s">
        <v>31</v>
      </c>
      <c r="C11" t="s">
        <v>216</v>
      </c>
      <c r="D11">
        <v>1</v>
      </c>
      <c r="E11" t="s">
        <v>217</v>
      </c>
      <c r="F11">
        <v>6</v>
      </c>
      <c r="G11">
        <f t="shared" si="0"/>
        <v>0.16666666666666666</v>
      </c>
      <c r="H11">
        <f>SUMIFS(Home!$E$28:$E$39,Home!$B$28:$B$39,$B11)</f>
        <v>0</v>
      </c>
      <c r="I11">
        <f t="shared" si="1"/>
        <v>0</v>
      </c>
      <c r="J11">
        <f>$G11*Home!$D$5</f>
        <v>0.16666666666666666</v>
      </c>
      <c r="K11">
        <f>INDEX(Pantry!$I$7:$I$68,MATCH($C11,Pantry!$A$7:$A$68,0))</f>
        <v>0</v>
      </c>
      <c r="L11">
        <f t="shared" si="2"/>
        <v>0</v>
      </c>
      <c r="M11">
        <f t="shared" si="3"/>
        <v>0.16666666666666666</v>
      </c>
    </row>
    <row r="12" spans="1:13" x14ac:dyDescent="0.35">
      <c r="A12" t="s">
        <v>30</v>
      </c>
      <c r="B12" t="s">
        <v>31</v>
      </c>
      <c r="C12" t="s">
        <v>218</v>
      </c>
      <c r="D12">
        <v>1</v>
      </c>
      <c r="E12" t="s">
        <v>217</v>
      </c>
      <c r="F12">
        <v>6</v>
      </c>
      <c r="G12">
        <f t="shared" si="0"/>
        <v>0.16666666666666666</v>
      </c>
      <c r="H12">
        <f>SUMIFS(Home!$E$28:$E$39,Home!$B$28:$B$39,$B12)</f>
        <v>0</v>
      </c>
      <c r="I12">
        <f t="shared" si="1"/>
        <v>0</v>
      </c>
      <c r="J12">
        <f>$G12*Home!$D$5</f>
        <v>0.16666666666666666</v>
      </c>
      <c r="K12">
        <f>INDEX(Pantry!$I$7:$I$68,MATCH($C12,Pantry!$A$7:$A$68,0))</f>
        <v>2</v>
      </c>
      <c r="L12">
        <f t="shared" si="2"/>
        <v>1</v>
      </c>
      <c r="M12">
        <f t="shared" si="3"/>
        <v>0</v>
      </c>
    </row>
    <row r="13" spans="1:13" x14ac:dyDescent="0.35">
      <c r="A13" t="s">
        <v>30</v>
      </c>
      <c r="B13" t="s">
        <v>31</v>
      </c>
      <c r="C13" t="s">
        <v>219</v>
      </c>
      <c r="D13">
        <v>6</v>
      </c>
      <c r="E13" t="s">
        <v>208</v>
      </c>
      <c r="F13">
        <v>6</v>
      </c>
      <c r="G13">
        <f t="shared" si="0"/>
        <v>1</v>
      </c>
      <c r="H13">
        <f>SUMIFS(Home!$E$28:$E$39,Home!$B$28:$B$39,$B13)</f>
        <v>0</v>
      </c>
      <c r="I13">
        <f t="shared" si="1"/>
        <v>0</v>
      </c>
      <c r="J13">
        <f>$G13*Home!$D$5</f>
        <v>1</v>
      </c>
      <c r="K13">
        <f>INDEX(Pantry!$I$7:$I$68,MATCH($C13,Pantry!$A$7:$A$68,0))</f>
        <v>10</v>
      </c>
      <c r="L13">
        <f t="shared" si="2"/>
        <v>1</v>
      </c>
      <c r="M13">
        <f t="shared" si="3"/>
        <v>0</v>
      </c>
    </row>
    <row r="14" spans="1:13" x14ac:dyDescent="0.35">
      <c r="A14" t="s">
        <v>30</v>
      </c>
      <c r="B14" t="s">
        <v>31</v>
      </c>
      <c r="C14" t="s">
        <v>220</v>
      </c>
      <c r="D14">
        <v>1</v>
      </c>
      <c r="E14" t="s">
        <v>208</v>
      </c>
      <c r="F14">
        <v>6</v>
      </c>
      <c r="G14">
        <f t="shared" si="0"/>
        <v>0.16666666666666666</v>
      </c>
      <c r="H14">
        <f>SUMIFS(Home!$E$28:$E$39,Home!$B$28:$B$39,$B14)</f>
        <v>0</v>
      </c>
      <c r="I14">
        <f t="shared" si="1"/>
        <v>0</v>
      </c>
      <c r="J14">
        <f>$G14*Home!$D$5</f>
        <v>0.16666666666666666</v>
      </c>
      <c r="K14">
        <f>INDEX(Pantry!$I$7:$I$68,MATCH($C14,Pantry!$A$7:$A$68,0))</f>
        <v>1</v>
      </c>
      <c r="L14">
        <f t="shared" si="2"/>
        <v>1</v>
      </c>
      <c r="M14">
        <f t="shared" si="3"/>
        <v>0</v>
      </c>
    </row>
    <row r="15" spans="1:13" x14ac:dyDescent="0.35">
      <c r="A15" t="s">
        <v>30</v>
      </c>
      <c r="B15" t="s">
        <v>31</v>
      </c>
      <c r="C15" t="s">
        <v>221</v>
      </c>
      <c r="D15">
        <v>2</v>
      </c>
      <c r="E15" t="s">
        <v>222</v>
      </c>
      <c r="F15">
        <v>6</v>
      </c>
      <c r="G15">
        <f t="shared" si="0"/>
        <v>0.33333333333333331</v>
      </c>
      <c r="H15">
        <f>SUMIFS(Home!$E$28:$E$39,Home!$B$28:$B$39,$B15)</f>
        <v>0</v>
      </c>
      <c r="I15">
        <f t="shared" si="1"/>
        <v>0</v>
      </c>
      <c r="J15">
        <f>$G15*Home!$D$5</f>
        <v>0.33333333333333331</v>
      </c>
      <c r="K15">
        <f>INDEX(Pantry!$I$7:$I$68,MATCH($C15,Pantry!$A$7:$A$68,0))</f>
        <v>50</v>
      </c>
      <c r="L15">
        <f t="shared" si="2"/>
        <v>1</v>
      </c>
      <c r="M15">
        <f t="shared" si="3"/>
        <v>0</v>
      </c>
    </row>
    <row r="16" spans="1:13" x14ac:dyDescent="0.35">
      <c r="A16" t="s">
        <v>30</v>
      </c>
      <c r="B16" t="s">
        <v>31</v>
      </c>
      <c r="C16" t="s">
        <v>223</v>
      </c>
      <c r="D16">
        <v>1</v>
      </c>
      <c r="E16" t="s">
        <v>211</v>
      </c>
      <c r="F16">
        <v>6</v>
      </c>
      <c r="G16">
        <f t="shared" si="0"/>
        <v>0.16666666666666666</v>
      </c>
      <c r="H16">
        <f>SUMIFS(Home!$E$28:$E$39,Home!$B$28:$B$39,$B16)</f>
        <v>0</v>
      </c>
      <c r="I16">
        <f t="shared" si="1"/>
        <v>0</v>
      </c>
      <c r="J16">
        <f>$G16*Home!$D$5</f>
        <v>0.16666666666666666</v>
      </c>
      <c r="K16">
        <f>INDEX(Pantry!$I$7:$I$68,MATCH($C16,Pantry!$A$7:$A$68,0))</f>
        <v>0</v>
      </c>
      <c r="L16">
        <f t="shared" si="2"/>
        <v>0</v>
      </c>
      <c r="M16">
        <f t="shared" si="3"/>
        <v>0.16666666666666666</v>
      </c>
    </row>
    <row r="17" spans="1:13" x14ac:dyDescent="0.35">
      <c r="A17" t="s">
        <v>30</v>
      </c>
      <c r="B17" t="s">
        <v>31</v>
      </c>
      <c r="C17" t="s">
        <v>224</v>
      </c>
      <c r="D17">
        <v>1</v>
      </c>
      <c r="E17" t="s">
        <v>222</v>
      </c>
      <c r="F17">
        <v>6</v>
      </c>
      <c r="G17">
        <f t="shared" si="0"/>
        <v>0.16666666666666666</v>
      </c>
      <c r="H17">
        <f>SUMIFS(Home!$E$28:$E$39,Home!$B$28:$B$39,$B17)</f>
        <v>0</v>
      </c>
      <c r="I17">
        <f t="shared" si="1"/>
        <v>0</v>
      </c>
      <c r="J17">
        <f>$G17*Home!$D$5</f>
        <v>0.16666666666666666</v>
      </c>
      <c r="K17">
        <f>INDEX(Pantry!$I$7:$I$68,MATCH($C17,Pantry!$A$7:$A$68,0))</f>
        <v>2</v>
      </c>
      <c r="L17">
        <f t="shared" si="2"/>
        <v>1</v>
      </c>
      <c r="M17">
        <f t="shared" si="3"/>
        <v>0</v>
      </c>
    </row>
    <row r="18" spans="1:13" x14ac:dyDescent="0.35">
      <c r="A18" t="s">
        <v>35</v>
      </c>
      <c r="B18" t="s">
        <v>36</v>
      </c>
      <c r="C18" t="s">
        <v>204</v>
      </c>
      <c r="D18">
        <v>1</v>
      </c>
      <c r="E18" t="s">
        <v>205</v>
      </c>
      <c r="F18">
        <v>5</v>
      </c>
      <c r="G18">
        <f t="shared" si="0"/>
        <v>0.2</v>
      </c>
      <c r="H18">
        <f>SUMIFS(Home!$E$28:$E$39,Home!$B$28:$B$39,$B18)</f>
        <v>0</v>
      </c>
      <c r="I18">
        <f t="shared" si="1"/>
        <v>0</v>
      </c>
      <c r="J18">
        <f>$G18*Home!$D$5</f>
        <v>0.2</v>
      </c>
      <c r="K18">
        <f>INDEX(Pantry!$I$7:$I$68,MATCH($C18,Pantry!$A$7:$A$68,0))</f>
        <v>1</v>
      </c>
      <c r="L18">
        <f t="shared" si="2"/>
        <v>1</v>
      </c>
      <c r="M18">
        <f t="shared" si="3"/>
        <v>0</v>
      </c>
    </row>
    <row r="19" spans="1:13" x14ac:dyDescent="0.35">
      <c r="A19" t="s">
        <v>35</v>
      </c>
      <c r="B19" t="s">
        <v>36</v>
      </c>
      <c r="C19" t="s">
        <v>206</v>
      </c>
      <c r="D19">
        <v>0.75</v>
      </c>
      <c r="E19" t="s">
        <v>205</v>
      </c>
      <c r="F19">
        <v>5</v>
      </c>
      <c r="G19">
        <f t="shared" si="0"/>
        <v>0.15</v>
      </c>
      <c r="H19">
        <f>SUMIFS(Home!$E$28:$E$39,Home!$B$28:$B$39,$B19)</f>
        <v>0</v>
      </c>
      <c r="I19">
        <f t="shared" si="1"/>
        <v>0</v>
      </c>
      <c r="J19">
        <f>$G19*Home!$D$5</f>
        <v>0.15</v>
      </c>
      <c r="K19">
        <f>INDEX(Pantry!$I$7:$I$68,MATCH($C19,Pantry!$A$7:$A$68,0))</f>
        <v>3</v>
      </c>
      <c r="L19">
        <f t="shared" si="2"/>
        <v>1</v>
      </c>
      <c r="M19">
        <f t="shared" si="3"/>
        <v>0</v>
      </c>
    </row>
    <row r="20" spans="1:13" x14ac:dyDescent="0.35">
      <c r="A20" t="s">
        <v>35</v>
      </c>
      <c r="B20" t="s">
        <v>36</v>
      </c>
      <c r="C20" t="s">
        <v>207</v>
      </c>
      <c r="D20">
        <v>2</v>
      </c>
      <c r="E20" t="s">
        <v>208</v>
      </c>
      <c r="F20">
        <v>5</v>
      </c>
      <c r="G20">
        <f t="shared" si="0"/>
        <v>0.4</v>
      </c>
      <c r="H20">
        <f>SUMIFS(Home!$E$28:$E$39,Home!$B$28:$B$39,$B20)</f>
        <v>0</v>
      </c>
      <c r="I20">
        <f t="shared" si="1"/>
        <v>0</v>
      </c>
      <c r="J20">
        <f>$G20*Home!$D$5</f>
        <v>0.4</v>
      </c>
      <c r="K20">
        <f>INDEX(Pantry!$I$7:$I$68,MATCH($C20,Pantry!$A$7:$A$68,0))</f>
        <v>6</v>
      </c>
      <c r="L20">
        <f t="shared" si="2"/>
        <v>1</v>
      </c>
      <c r="M20">
        <f t="shared" si="3"/>
        <v>0</v>
      </c>
    </row>
    <row r="21" spans="1:13" x14ac:dyDescent="0.35">
      <c r="A21" t="s">
        <v>35</v>
      </c>
      <c r="B21" t="s">
        <v>36</v>
      </c>
      <c r="C21" t="s">
        <v>225</v>
      </c>
      <c r="D21">
        <v>2</v>
      </c>
      <c r="E21" t="s">
        <v>213</v>
      </c>
      <c r="F21">
        <v>5</v>
      </c>
      <c r="G21">
        <f t="shared" si="0"/>
        <v>0.4</v>
      </c>
      <c r="H21">
        <f>SUMIFS(Home!$E$28:$E$39,Home!$B$28:$B$39,$B21)</f>
        <v>0</v>
      </c>
      <c r="I21">
        <f t="shared" si="1"/>
        <v>0</v>
      </c>
      <c r="J21">
        <f>$G21*Home!$D$5</f>
        <v>0.4</v>
      </c>
      <c r="K21">
        <f>INDEX(Pantry!$I$7:$I$68,MATCH($C21,Pantry!$A$7:$A$68,0))</f>
        <v>4</v>
      </c>
      <c r="L21">
        <f t="shared" si="2"/>
        <v>1</v>
      </c>
      <c r="M21">
        <f t="shared" si="3"/>
        <v>0</v>
      </c>
    </row>
    <row r="22" spans="1:13" x14ac:dyDescent="0.35">
      <c r="A22" t="s">
        <v>35</v>
      </c>
      <c r="B22" t="s">
        <v>36</v>
      </c>
      <c r="C22" t="s">
        <v>226</v>
      </c>
      <c r="D22">
        <v>2</v>
      </c>
      <c r="E22" t="s">
        <v>222</v>
      </c>
      <c r="F22">
        <v>5</v>
      </c>
      <c r="G22">
        <f t="shared" si="0"/>
        <v>0.4</v>
      </c>
      <c r="H22">
        <f>SUMIFS(Home!$E$28:$E$39,Home!$B$28:$B$39,$B22)</f>
        <v>0</v>
      </c>
      <c r="I22">
        <f t="shared" si="1"/>
        <v>0</v>
      </c>
      <c r="J22">
        <f>$G22*Home!$D$5</f>
        <v>0.4</v>
      </c>
      <c r="K22">
        <f>INDEX(Pantry!$I$7:$I$68,MATCH($C22,Pantry!$A$7:$A$68,0))</f>
        <v>8</v>
      </c>
      <c r="L22">
        <f t="shared" si="2"/>
        <v>1</v>
      </c>
      <c r="M22">
        <f t="shared" si="3"/>
        <v>0</v>
      </c>
    </row>
    <row r="23" spans="1:13" x14ac:dyDescent="0.35">
      <c r="A23" t="s">
        <v>35</v>
      </c>
      <c r="B23" t="s">
        <v>36</v>
      </c>
      <c r="C23" t="s">
        <v>227</v>
      </c>
      <c r="D23">
        <v>2</v>
      </c>
      <c r="E23" t="s">
        <v>222</v>
      </c>
      <c r="F23">
        <v>5</v>
      </c>
      <c r="G23">
        <f t="shared" si="0"/>
        <v>0.4</v>
      </c>
      <c r="H23">
        <f>SUMIFS(Home!$E$28:$E$39,Home!$B$28:$B$39,$B23)</f>
        <v>0</v>
      </c>
      <c r="I23">
        <f t="shared" si="1"/>
        <v>0</v>
      </c>
      <c r="J23">
        <f>$G23*Home!$D$5</f>
        <v>0.4</v>
      </c>
      <c r="K23">
        <f>INDEX(Pantry!$I$7:$I$68,MATCH($C23,Pantry!$A$7:$A$68,0))</f>
        <v>6</v>
      </c>
      <c r="L23">
        <f t="shared" si="2"/>
        <v>1</v>
      </c>
      <c r="M23">
        <f t="shared" si="3"/>
        <v>0</v>
      </c>
    </row>
    <row r="24" spans="1:13" x14ac:dyDescent="0.35">
      <c r="A24" t="s">
        <v>35</v>
      </c>
      <c r="B24" t="s">
        <v>36</v>
      </c>
      <c r="C24" t="s">
        <v>228</v>
      </c>
      <c r="D24">
        <v>2</v>
      </c>
      <c r="E24" t="s">
        <v>222</v>
      </c>
      <c r="F24">
        <v>5</v>
      </c>
      <c r="G24">
        <f t="shared" si="0"/>
        <v>0.4</v>
      </c>
      <c r="H24">
        <f>SUMIFS(Home!$E$28:$E$39,Home!$B$28:$B$39,$B24)</f>
        <v>0</v>
      </c>
      <c r="I24">
        <f t="shared" si="1"/>
        <v>0</v>
      </c>
      <c r="J24">
        <f>$G24*Home!$D$5</f>
        <v>0.4</v>
      </c>
      <c r="K24">
        <f>INDEX(Pantry!$I$7:$I$68,MATCH($C24,Pantry!$A$7:$A$68,0))</f>
        <v>1</v>
      </c>
      <c r="L24">
        <f t="shared" si="2"/>
        <v>1</v>
      </c>
      <c r="M24">
        <f t="shared" si="3"/>
        <v>0</v>
      </c>
    </row>
    <row r="25" spans="1:13" x14ac:dyDescent="0.35">
      <c r="A25" t="s">
        <v>35</v>
      </c>
      <c r="B25" t="s">
        <v>36</v>
      </c>
      <c r="C25" t="s">
        <v>212</v>
      </c>
      <c r="D25">
        <v>2</v>
      </c>
      <c r="E25" t="s">
        <v>213</v>
      </c>
      <c r="F25">
        <v>5</v>
      </c>
      <c r="G25">
        <f t="shared" si="0"/>
        <v>0.4</v>
      </c>
      <c r="H25">
        <f>SUMIFS(Home!$E$28:$E$39,Home!$B$28:$B$39,$B25)</f>
        <v>0</v>
      </c>
      <c r="I25">
        <f t="shared" si="1"/>
        <v>0</v>
      </c>
      <c r="J25">
        <f>$G25*Home!$D$5</f>
        <v>0.4</v>
      </c>
      <c r="K25">
        <f>INDEX(Pantry!$I$7:$I$68,MATCH($C25,Pantry!$A$7:$A$68,0))</f>
        <v>1</v>
      </c>
      <c r="L25">
        <f t="shared" si="2"/>
        <v>1</v>
      </c>
      <c r="M25">
        <f t="shared" si="3"/>
        <v>0</v>
      </c>
    </row>
    <row r="26" spans="1:13" x14ac:dyDescent="0.35">
      <c r="A26" t="s">
        <v>35</v>
      </c>
      <c r="B26" t="s">
        <v>36</v>
      </c>
      <c r="C26" t="s">
        <v>210</v>
      </c>
      <c r="D26">
        <v>0.5</v>
      </c>
      <c r="E26" t="s">
        <v>211</v>
      </c>
      <c r="F26">
        <v>5</v>
      </c>
      <c r="G26">
        <f t="shared" si="0"/>
        <v>0.1</v>
      </c>
      <c r="H26">
        <f>SUMIFS(Home!$E$28:$E$39,Home!$B$28:$B$39,$B26)</f>
        <v>0</v>
      </c>
      <c r="I26">
        <f t="shared" si="1"/>
        <v>0</v>
      </c>
      <c r="J26">
        <f>$G26*Home!$D$5</f>
        <v>0.1</v>
      </c>
      <c r="K26">
        <f>INDEX(Pantry!$I$7:$I$68,MATCH($C26,Pantry!$A$7:$A$68,0))</f>
        <v>2</v>
      </c>
      <c r="L26">
        <f t="shared" si="2"/>
        <v>1</v>
      </c>
      <c r="M26">
        <f t="shared" si="3"/>
        <v>0</v>
      </c>
    </row>
    <row r="27" spans="1:13" x14ac:dyDescent="0.35">
      <c r="A27" t="s">
        <v>35</v>
      </c>
      <c r="B27" t="s">
        <v>36</v>
      </c>
      <c r="C27" t="s">
        <v>215</v>
      </c>
      <c r="D27">
        <v>0.75</v>
      </c>
      <c r="E27" t="s">
        <v>211</v>
      </c>
      <c r="F27">
        <v>5</v>
      </c>
      <c r="G27">
        <f t="shared" si="0"/>
        <v>0.15</v>
      </c>
      <c r="H27">
        <f>SUMIFS(Home!$E$28:$E$39,Home!$B$28:$B$39,$B27)</f>
        <v>0</v>
      </c>
      <c r="I27">
        <f t="shared" si="1"/>
        <v>0</v>
      </c>
      <c r="J27">
        <f>$G27*Home!$D$5</f>
        <v>0.15</v>
      </c>
      <c r="K27">
        <f>INDEX(Pantry!$I$7:$I$68,MATCH($C27,Pantry!$A$7:$A$68,0))</f>
        <v>5</v>
      </c>
      <c r="L27">
        <f t="shared" si="2"/>
        <v>1</v>
      </c>
      <c r="M27">
        <f t="shared" si="3"/>
        <v>0</v>
      </c>
    </row>
    <row r="28" spans="1:13" x14ac:dyDescent="0.35">
      <c r="A28" t="s">
        <v>35</v>
      </c>
      <c r="B28" t="s">
        <v>36</v>
      </c>
      <c r="C28" t="s">
        <v>221</v>
      </c>
      <c r="D28">
        <v>2</v>
      </c>
      <c r="E28" t="s">
        <v>222</v>
      </c>
      <c r="F28">
        <v>5</v>
      </c>
      <c r="G28">
        <f t="shared" si="0"/>
        <v>0.4</v>
      </c>
      <c r="H28">
        <f>SUMIFS(Home!$E$28:$E$39,Home!$B$28:$B$39,$B28)</f>
        <v>0</v>
      </c>
      <c r="I28">
        <f t="shared" si="1"/>
        <v>0</v>
      </c>
      <c r="J28">
        <f>$G28*Home!$D$5</f>
        <v>0.4</v>
      </c>
      <c r="K28">
        <f>INDEX(Pantry!$I$7:$I$68,MATCH($C28,Pantry!$A$7:$A$68,0))</f>
        <v>50</v>
      </c>
      <c r="L28">
        <f t="shared" si="2"/>
        <v>1</v>
      </c>
      <c r="M28">
        <f t="shared" si="3"/>
        <v>0</v>
      </c>
    </row>
    <row r="29" spans="1:13" x14ac:dyDescent="0.35">
      <c r="A29" t="s">
        <v>35</v>
      </c>
      <c r="B29" t="s">
        <v>36</v>
      </c>
      <c r="C29" t="s">
        <v>219</v>
      </c>
      <c r="D29">
        <v>4</v>
      </c>
      <c r="E29" t="s">
        <v>208</v>
      </c>
      <c r="F29">
        <v>5</v>
      </c>
      <c r="G29">
        <f t="shared" si="0"/>
        <v>0.8</v>
      </c>
      <c r="H29">
        <f>SUMIFS(Home!$E$28:$E$39,Home!$B$28:$B$39,$B29)</f>
        <v>0</v>
      </c>
      <c r="I29">
        <f t="shared" si="1"/>
        <v>0</v>
      </c>
      <c r="J29">
        <f>$G29*Home!$D$5</f>
        <v>0.8</v>
      </c>
      <c r="K29">
        <f>INDEX(Pantry!$I$7:$I$68,MATCH($C29,Pantry!$A$7:$A$68,0))</f>
        <v>10</v>
      </c>
      <c r="L29">
        <f t="shared" si="2"/>
        <v>1</v>
      </c>
      <c r="M29">
        <f t="shared" si="3"/>
        <v>0</v>
      </c>
    </row>
    <row r="30" spans="1:13" x14ac:dyDescent="0.35">
      <c r="A30" t="s">
        <v>40</v>
      </c>
      <c r="B30" t="s">
        <v>41</v>
      </c>
      <c r="C30" t="s">
        <v>229</v>
      </c>
      <c r="D30">
        <v>375</v>
      </c>
      <c r="E30" t="s">
        <v>230</v>
      </c>
      <c r="F30">
        <v>4</v>
      </c>
      <c r="G30">
        <f t="shared" si="0"/>
        <v>93.75</v>
      </c>
      <c r="H30">
        <f>SUMIFS(Home!$E$28:$E$39,Home!$B$28:$B$39,$B30)</f>
        <v>0</v>
      </c>
      <c r="I30">
        <f t="shared" si="1"/>
        <v>0</v>
      </c>
      <c r="J30">
        <f>$G30*Home!$D$5</f>
        <v>93.75</v>
      </c>
      <c r="K30">
        <f>INDEX(Pantry!$I$7:$I$68,MATCH($C30,Pantry!$A$7:$A$68,0))</f>
        <v>0</v>
      </c>
      <c r="L30">
        <f t="shared" si="2"/>
        <v>0</v>
      </c>
      <c r="M30">
        <f t="shared" si="3"/>
        <v>93.75</v>
      </c>
    </row>
    <row r="31" spans="1:13" x14ac:dyDescent="0.35">
      <c r="A31" t="s">
        <v>40</v>
      </c>
      <c r="B31" t="s">
        <v>41</v>
      </c>
      <c r="C31" t="s">
        <v>207</v>
      </c>
      <c r="D31">
        <v>2</v>
      </c>
      <c r="E31" t="s">
        <v>208</v>
      </c>
      <c r="F31">
        <v>4</v>
      </c>
      <c r="G31">
        <f t="shared" si="0"/>
        <v>0.5</v>
      </c>
      <c r="H31">
        <f>SUMIFS(Home!$E$28:$E$39,Home!$B$28:$B$39,$B31)</f>
        <v>0</v>
      </c>
      <c r="I31">
        <f t="shared" si="1"/>
        <v>0</v>
      </c>
      <c r="J31">
        <f>$G31*Home!$D$5</f>
        <v>0.5</v>
      </c>
      <c r="K31">
        <f>INDEX(Pantry!$I$7:$I$68,MATCH($C31,Pantry!$A$7:$A$68,0))</f>
        <v>6</v>
      </c>
      <c r="L31">
        <f t="shared" si="2"/>
        <v>1</v>
      </c>
      <c r="M31">
        <f t="shared" si="3"/>
        <v>0</v>
      </c>
    </row>
    <row r="32" spans="1:13" x14ac:dyDescent="0.35">
      <c r="A32" t="s">
        <v>40</v>
      </c>
      <c r="B32" t="s">
        <v>41</v>
      </c>
      <c r="C32" t="s">
        <v>209</v>
      </c>
      <c r="D32">
        <v>3</v>
      </c>
      <c r="E32" t="s">
        <v>208</v>
      </c>
      <c r="F32">
        <v>4</v>
      </c>
      <c r="G32">
        <f t="shared" si="0"/>
        <v>0.75</v>
      </c>
      <c r="H32">
        <f>SUMIFS(Home!$E$28:$E$39,Home!$B$28:$B$39,$B32)</f>
        <v>0</v>
      </c>
      <c r="I32">
        <f t="shared" si="1"/>
        <v>0</v>
      </c>
      <c r="J32">
        <f>$G32*Home!$D$5</f>
        <v>0.75</v>
      </c>
      <c r="K32">
        <f>INDEX(Pantry!$I$7:$I$68,MATCH($C32,Pantry!$A$7:$A$68,0))</f>
        <v>4</v>
      </c>
      <c r="L32">
        <f t="shared" si="2"/>
        <v>1</v>
      </c>
      <c r="M32">
        <f t="shared" si="3"/>
        <v>0</v>
      </c>
    </row>
    <row r="33" spans="1:13" x14ac:dyDescent="0.35">
      <c r="A33" t="s">
        <v>40</v>
      </c>
      <c r="B33" t="s">
        <v>41</v>
      </c>
      <c r="C33" t="s">
        <v>212</v>
      </c>
      <c r="D33">
        <v>1.5</v>
      </c>
      <c r="E33" t="s">
        <v>213</v>
      </c>
      <c r="F33">
        <v>4</v>
      </c>
      <c r="G33">
        <f t="shared" si="0"/>
        <v>0.375</v>
      </c>
      <c r="H33">
        <f>SUMIFS(Home!$E$28:$E$39,Home!$B$28:$B$39,$B33)</f>
        <v>0</v>
      </c>
      <c r="I33">
        <f t="shared" si="1"/>
        <v>0</v>
      </c>
      <c r="J33">
        <f>$G33*Home!$D$5</f>
        <v>0.375</v>
      </c>
      <c r="K33">
        <f>INDEX(Pantry!$I$7:$I$68,MATCH($C33,Pantry!$A$7:$A$68,0))</f>
        <v>1</v>
      </c>
      <c r="L33">
        <f t="shared" si="2"/>
        <v>1</v>
      </c>
      <c r="M33">
        <f t="shared" si="3"/>
        <v>0</v>
      </c>
    </row>
    <row r="34" spans="1:13" x14ac:dyDescent="0.35">
      <c r="A34" t="s">
        <v>40</v>
      </c>
      <c r="B34" t="s">
        <v>41</v>
      </c>
      <c r="C34" t="s">
        <v>231</v>
      </c>
      <c r="D34">
        <v>2</v>
      </c>
      <c r="E34" t="s">
        <v>222</v>
      </c>
      <c r="F34">
        <v>4</v>
      </c>
      <c r="G34">
        <f t="shared" si="0"/>
        <v>0.5</v>
      </c>
      <c r="H34">
        <f>SUMIFS(Home!$E$28:$E$39,Home!$B$28:$B$39,$B34)</f>
        <v>0</v>
      </c>
      <c r="I34">
        <f t="shared" si="1"/>
        <v>0</v>
      </c>
      <c r="J34">
        <f>$G34*Home!$D$5</f>
        <v>0.5</v>
      </c>
      <c r="K34">
        <f>INDEX(Pantry!$I$7:$I$68,MATCH($C34,Pantry!$A$7:$A$68,0))</f>
        <v>20</v>
      </c>
      <c r="L34">
        <f t="shared" si="2"/>
        <v>1</v>
      </c>
      <c r="M34">
        <f t="shared" si="3"/>
        <v>0</v>
      </c>
    </row>
    <row r="35" spans="1:13" x14ac:dyDescent="0.35">
      <c r="A35" t="s">
        <v>40</v>
      </c>
      <c r="B35" t="s">
        <v>41</v>
      </c>
      <c r="C35" t="s">
        <v>232</v>
      </c>
      <c r="D35">
        <v>0.5</v>
      </c>
      <c r="E35" t="s">
        <v>222</v>
      </c>
      <c r="F35">
        <v>4</v>
      </c>
      <c r="G35">
        <f t="shared" si="0"/>
        <v>0.125</v>
      </c>
      <c r="H35">
        <f>SUMIFS(Home!$E$28:$E$39,Home!$B$28:$B$39,$B35)</f>
        <v>0</v>
      </c>
      <c r="I35">
        <f t="shared" si="1"/>
        <v>0</v>
      </c>
      <c r="J35">
        <f>$G35*Home!$D$5</f>
        <v>0.125</v>
      </c>
      <c r="K35">
        <f>INDEX(Pantry!$I$7:$I$68,MATCH($C35,Pantry!$A$7:$A$68,0))</f>
        <v>15</v>
      </c>
      <c r="L35">
        <f t="shared" si="2"/>
        <v>1</v>
      </c>
      <c r="M35">
        <f t="shared" si="3"/>
        <v>0</v>
      </c>
    </row>
    <row r="36" spans="1:13" x14ac:dyDescent="0.35">
      <c r="A36" t="s">
        <v>40</v>
      </c>
      <c r="B36" t="s">
        <v>41</v>
      </c>
      <c r="C36" t="s">
        <v>233</v>
      </c>
      <c r="D36">
        <v>2</v>
      </c>
      <c r="E36" t="s">
        <v>222</v>
      </c>
      <c r="F36">
        <v>4</v>
      </c>
      <c r="G36">
        <f t="shared" si="0"/>
        <v>0.5</v>
      </c>
      <c r="H36">
        <f>SUMIFS(Home!$E$28:$E$39,Home!$B$28:$B$39,$B36)</f>
        <v>0</v>
      </c>
      <c r="I36">
        <f t="shared" si="1"/>
        <v>0</v>
      </c>
      <c r="J36">
        <f>$G36*Home!$D$5</f>
        <v>0.5</v>
      </c>
      <c r="K36">
        <f>INDEX(Pantry!$I$7:$I$68,MATCH($C36,Pantry!$A$7:$A$68,0))</f>
        <v>12</v>
      </c>
      <c r="L36">
        <f t="shared" si="2"/>
        <v>1</v>
      </c>
      <c r="M36">
        <f t="shared" si="3"/>
        <v>0</v>
      </c>
    </row>
    <row r="37" spans="1:13" x14ac:dyDescent="0.35">
      <c r="A37" t="s">
        <v>40</v>
      </c>
      <c r="B37" t="s">
        <v>41</v>
      </c>
      <c r="C37" t="s">
        <v>226</v>
      </c>
      <c r="D37">
        <v>1</v>
      </c>
      <c r="E37" t="s">
        <v>222</v>
      </c>
      <c r="F37">
        <v>4</v>
      </c>
      <c r="G37">
        <f t="shared" si="0"/>
        <v>0.25</v>
      </c>
      <c r="H37">
        <f>SUMIFS(Home!$E$28:$E$39,Home!$B$28:$B$39,$B37)</f>
        <v>0</v>
      </c>
      <c r="I37">
        <f t="shared" si="1"/>
        <v>0</v>
      </c>
      <c r="J37">
        <f>$G37*Home!$D$5</f>
        <v>0.25</v>
      </c>
      <c r="K37">
        <f>INDEX(Pantry!$I$7:$I$68,MATCH($C37,Pantry!$A$7:$A$68,0))</f>
        <v>8</v>
      </c>
      <c r="L37">
        <f t="shared" si="2"/>
        <v>1</v>
      </c>
      <c r="M37">
        <f t="shared" si="3"/>
        <v>0</v>
      </c>
    </row>
    <row r="38" spans="1:13" x14ac:dyDescent="0.35">
      <c r="A38" t="s">
        <v>40</v>
      </c>
      <c r="B38" t="s">
        <v>41</v>
      </c>
      <c r="C38" t="s">
        <v>234</v>
      </c>
      <c r="D38">
        <v>1</v>
      </c>
      <c r="E38" t="s">
        <v>222</v>
      </c>
      <c r="F38">
        <v>4</v>
      </c>
      <c r="G38">
        <f t="shared" si="0"/>
        <v>0.25</v>
      </c>
      <c r="H38">
        <f>SUMIFS(Home!$E$28:$E$39,Home!$B$28:$B$39,$B38)</f>
        <v>0</v>
      </c>
      <c r="I38">
        <f t="shared" si="1"/>
        <v>0</v>
      </c>
      <c r="J38">
        <f>$G38*Home!$D$5</f>
        <v>0.25</v>
      </c>
      <c r="K38">
        <f>INDEX(Pantry!$I$7:$I$68,MATCH($C38,Pantry!$A$7:$A$68,0))</f>
        <v>10</v>
      </c>
      <c r="L38">
        <f t="shared" si="2"/>
        <v>1</v>
      </c>
      <c r="M38">
        <f t="shared" si="3"/>
        <v>0</v>
      </c>
    </row>
    <row r="39" spans="1:13" x14ac:dyDescent="0.35">
      <c r="A39" t="s">
        <v>40</v>
      </c>
      <c r="B39" t="s">
        <v>41</v>
      </c>
      <c r="C39" t="s">
        <v>215</v>
      </c>
      <c r="D39">
        <v>0.5</v>
      </c>
      <c r="E39" t="s">
        <v>211</v>
      </c>
      <c r="F39">
        <v>4</v>
      </c>
      <c r="G39">
        <f t="shared" si="0"/>
        <v>0.125</v>
      </c>
      <c r="H39">
        <f>SUMIFS(Home!$E$28:$E$39,Home!$B$28:$B$39,$B39)</f>
        <v>0</v>
      </c>
      <c r="I39">
        <f t="shared" si="1"/>
        <v>0</v>
      </c>
      <c r="J39">
        <f>$G39*Home!$D$5</f>
        <v>0.125</v>
      </c>
      <c r="K39">
        <f>INDEX(Pantry!$I$7:$I$68,MATCH($C39,Pantry!$A$7:$A$68,0))</f>
        <v>5</v>
      </c>
      <c r="L39">
        <f t="shared" si="2"/>
        <v>1</v>
      </c>
      <c r="M39">
        <f t="shared" si="3"/>
        <v>0</v>
      </c>
    </row>
    <row r="40" spans="1:13" x14ac:dyDescent="0.35">
      <c r="A40" t="s">
        <v>40</v>
      </c>
      <c r="B40" t="s">
        <v>41</v>
      </c>
      <c r="C40" t="s">
        <v>221</v>
      </c>
      <c r="D40">
        <v>1.5</v>
      </c>
      <c r="E40" t="s">
        <v>222</v>
      </c>
      <c r="F40">
        <v>4</v>
      </c>
      <c r="G40">
        <f t="shared" si="0"/>
        <v>0.375</v>
      </c>
      <c r="H40">
        <f>SUMIFS(Home!$E$28:$E$39,Home!$B$28:$B$39,$B40)</f>
        <v>0</v>
      </c>
      <c r="I40">
        <f t="shared" si="1"/>
        <v>0</v>
      </c>
      <c r="J40">
        <f>$G40*Home!$D$5</f>
        <v>0.375</v>
      </c>
      <c r="K40">
        <f>INDEX(Pantry!$I$7:$I$68,MATCH($C40,Pantry!$A$7:$A$68,0))</f>
        <v>50</v>
      </c>
      <c r="L40">
        <f t="shared" si="2"/>
        <v>1</v>
      </c>
      <c r="M40">
        <f t="shared" si="3"/>
        <v>0</v>
      </c>
    </row>
    <row r="41" spans="1:13" x14ac:dyDescent="0.35">
      <c r="A41" t="s">
        <v>40</v>
      </c>
      <c r="B41" t="s">
        <v>41</v>
      </c>
      <c r="C41" t="s">
        <v>218</v>
      </c>
      <c r="D41">
        <v>0.5</v>
      </c>
      <c r="E41" t="s">
        <v>217</v>
      </c>
      <c r="F41">
        <v>4</v>
      </c>
      <c r="G41">
        <f t="shared" si="0"/>
        <v>0.125</v>
      </c>
      <c r="H41">
        <f>SUMIFS(Home!$E$28:$E$39,Home!$B$28:$B$39,$B41)</f>
        <v>0</v>
      </c>
      <c r="I41">
        <f t="shared" si="1"/>
        <v>0</v>
      </c>
      <c r="J41">
        <f>$G41*Home!$D$5</f>
        <v>0.125</v>
      </c>
      <c r="K41">
        <f>INDEX(Pantry!$I$7:$I$68,MATCH($C41,Pantry!$A$7:$A$68,0))</f>
        <v>2</v>
      </c>
      <c r="L41">
        <f t="shared" si="2"/>
        <v>1</v>
      </c>
      <c r="M41">
        <f t="shared" si="3"/>
        <v>0</v>
      </c>
    </row>
    <row r="42" spans="1:13" x14ac:dyDescent="0.35">
      <c r="A42" t="s">
        <v>45</v>
      </c>
      <c r="B42" t="s">
        <v>46</v>
      </c>
      <c r="C42" t="s">
        <v>204</v>
      </c>
      <c r="D42">
        <v>1</v>
      </c>
      <c r="E42" t="s">
        <v>205</v>
      </c>
      <c r="F42">
        <v>5</v>
      </c>
      <c r="G42">
        <f t="shared" si="0"/>
        <v>0.2</v>
      </c>
      <c r="H42">
        <f>SUMIFS(Home!$E$28:$E$39,Home!$B$28:$B$39,$B42)</f>
        <v>0</v>
      </c>
      <c r="I42">
        <f t="shared" si="1"/>
        <v>0</v>
      </c>
      <c r="J42">
        <f>$G42*Home!$D$5</f>
        <v>0.2</v>
      </c>
      <c r="K42">
        <f>INDEX(Pantry!$I$7:$I$68,MATCH($C42,Pantry!$A$7:$A$68,0))</f>
        <v>1</v>
      </c>
      <c r="L42">
        <f t="shared" si="2"/>
        <v>1</v>
      </c>
      <c r="M42">
        <f t="shared" si="3"/>
        <v>0</v>
      </c>
    </row>
    <row r="43" spans="1:13" x14ac:dyDescent="0.35">
      <c r="A43" t="s">
        <v>45</v>
      </c>
      <c r="B43" t="s">
        <v>46</v>
      </c>
      <c r="C43" t="s">
        <v>209</v>
      </c>
      <c r="D43">
        <v>6</v>
      </c>
      <c r="E43" t="s">
        <v>208</v>
      </c>
      <c r="F43">
        <v>5</v>
      </c>
      <c r="G43">
        <f t="shared" si="0"/>
        <v>1.2</v>
      </c>
      <c r="H43">
        <f>SUMIFS(Home!$E$28:$E$39,Home!$B$28:$B$39,$B43)</f>
        <v>0</v>
      </c>
      <c r="I43">
        <f t="shared" si="1"/>
        <v>0</v>
      </c>
      <c r="J43">
        <f>$G43*Home!$D$5</f>
        <v>1.2</v>
      </c>
      <c r="K43">
        <f>INDEX(Pantry!$I$7:$I$68,MATCH($C43,Pantry!$A$7:$A$68,0))</f>
        <v>4</v>
      </c>
      <c r="L43">
        <f t="shared" si="2"/>
        <v>1</v>
      </c>
      <c r="M43">
        <f t="shared" si="3"/>
        <v>0</v>
      </c>
    </row>
    <row r="44" spans="1:13" x14ac:dyDescent="0.35">
      <c r="A44" t="s">
        <v>45</v>
      </c>
      <c r="B44" t="s">
        <v>46</v>
      </c>
      <c r="C44" t="s">
        <v>212</v>
      </c>
      <c r="D44">
        <v>2</v>
      </c>
      <c r="E44" t="s">
        <v>213</v>
      </c>
      <c r="F44">
        <v>5</v>
      </c>
      <c r="G44">
        <f t="shared" si="0"/>
        <v>0.4</v>
      </c>
      <c r="H44">
        <f>SUMIFS(Home!$E$28:$E$39,Home!$B$28:$B$39,$B44)</f>
        <v>0</v>
      </c>
      <c r="I44">
        <f t="shared" si="1"/>
        <v>0</v>
      </c>
      <c r="J44">
        <f>$G44*Home!$D$5</f>
        <v>0.4</v>
      </c>
      <c r="K44">
        <f>INDEX(Pantry!$I$7:$I$68,MATCH($C44,Pantry!$A$7:$A$68,0))</f>
        <v>1</v>
      </c>
      <c r="L44">
        <f t="shared" si="2"/>
        <v>1</v>
      </c>
      <c r="M44">
        <f t="shared" si="3"/>
        <v>0</v>
      </c>
    </row>
    <row r="45" spans="1:13" x14ac:dyDescent="0.35">
      <c r="A45" t="s">
        <v>45</v>
      </c>
      <c r="B45" t="s">
        <v>46</v>
      </c>
      <c r="C45" t="s">
        <v>219</v>
      </c>
      <c r="D45">
        <v>8</v>
      </c>
      <c r="E45" t="s">
        <v>208</v>
      </c>
      <c r="F45">
        <v>5</v>
      </c>
      <c r="G45">
        <f t="shared" si="0"/>
        <v>1.6</v>
      </c>
      <c r="H45">
        <f>SUMIFS(Home!$E$28:$E$39,Home!$B$28:$B$39,$B45)</f>
        <v>0</v>
      </c>
      <c r="I45">
        <f t="shared" si="1"/>
        <v>0</v>
      </c>
      <c r="J45">
        <f>$G45*Home!$D$5</f>
        <v>1.6</v>
      </c>
      <c r="K45">
        <f>INDEX(Pantry!$I$7:$I$68,MATCH($C45,Pantry!$A$7:$A$68,0))</f>
        <v>10</v>
      </c>
      <c r="L45">
        <f t="shared" si="2"/>
        <v>1</v>
      </c>
      <c r="M45">
        <f t="shared" si="3"/>
        <v>0</v>
      </c>
    </row>
    <row r="46" spans="1:13" x14ac:dyDescent="0.35">
      <c r="A46" t="s">
        <v>45</v>
      </c>
      <c r="B46" t="s">
        <v>46</v>
      </c>
      <c r="C46" t="s">
        <v>235</v>
      </c>
      <c r="D46">
        <v>2</v>
      </c>
      <c r="E46" t="s">
        <v>236</v>
      </c>
      <c r="F46">
        <v>5</v>
      </c>
      <c r="G46">
        <f t="shared" si="0"/>
        <v>0.4</v>
      </c>
      <c r="H46">
        <f>SUMIFS(Home!$E$28:$E$39,Home!$B$28:$B$39,$B46)</f>
        <v>0</v>
      </c>
      <c r="I46">
        <f t="shared" si="1"/>
        <v>0</v>
      </c>
      <c r="J46">
        <f>$G46*Home!$D$5</f>
        <v>0.4</v>
      </c>
      <c r="K46">
        <f>INDEX(Pantry!$I$7:$I$68,MATCH($C46,Pantry!$A$7:$A$68,0))</f>
        <v>3</v>
      </c>
      <c r="L46">
        <f t="shared" si="2"/>
        <v>1</v>
      </c>
      <c r="M46">
        <f t="shared" si="3"/>
        <v>0</v>
      </c>
    </row>
    <row r="47" spans="1:13" x14ac:dyDescent="0.35">
      <c r="A47" t="s">
        <v>45</v>
      </c>
      <c r="B47" t="s">
        <v>46</v>
      </c>
      <c r="C47" t="s">
        <v>210</v>
      </c>
      <c r="D47">
        <v>0.5</v>
      </c>
      <c r="E47" t="s">
        <v>211</v>
      </c>
      <c r="F47">
        <v>5</v>
      </c>
      <c r="G47">
        <f t="shared" si="0"/>
        <v>0.1</v>
      </c>
      <c r="H47">
        <f>SUMIFS(Home!$E$28:$E$39,Home!$B$28:$B$39,$B47)</f>
        <v>0</v>
      </c>
      <c r="I47">
        <f t="shared" si="1"/>
        <v>0</v>
      </c>
      <c r="J47">
        <f>$G47*Home!$D$5</f>
        <v>0.1</v>
      </c>
      <c r="K47">
        <f>INDEX(Pantry!$I$7:$I$68,MATCH($C47,Pantry!$A$7:$A$68,0))</f>
        <v>2</v>
      </c>
      <c r="L47">
        <f t="shared" si="2"/>
        <v>1</v>
      </c>
      <c r="M47">
        <f t="shared" si="3"/>
        <v>0</v>
      </c>
    </row>
    <row r="48" spans="1:13" x14ac:dyDescent="0.35">
      <c r="A48" t="s">
        <v>45</v>
      </c>
      <c r="B48" t="s">
        <v>46</v>
      </c>
      <c r="C48" t="s">
        <v>231</v>
      </c>
      <c r="D48">
        <v>2</v>
      </c>
      <c r="E48" t="s">
        <v>222</v>
      </c>
      <c r="F48">
        <v>5</v>
      </c>
      <c r="G48">
        <f t="shared" si="0"/>
        <v>0.4</v>
      </c>
      <c r="H48">
        <f>SUMIFS(Home!$E$28:$E$39,Home!$B$28:$B$39,$B48)</f>
        <v>0</v>
      </c>
      <c r="I48">
        <f t="shared" si="1"/>
        <v>0</v>
      </c>
      <c r="J48">
        <f>$G48*Home!$D$5</f>
        <v>0.4</v>
      </c>
      <c r="K48">
        <f>INDEX(Pantry!$I$7:$I$68,MATCH($C48,Pantry!$A$7:$A$68,0))</f>
        <v>20</v>
      </c>
      <c r="L48">
        <f t="shared" si="2"/>
        <v>1</v>
      </c>
      <c r="M48">
        <f t="shared" si="3"/>
        <v>0</v>
      </c>
    </row>
    <row r="49" spans="1:13" x14ac:dyDescent="0.35">
      <c r="A49" t="s">
        <v>45</v>
      </c>
      <c r="B49" t="s">
        <v>46</v>
      </c>
      <c r="C49" t="s">
        <v>237</v>
      </c>
      <c r="D49">
        <v>1</v>
      </c>
      <c r="E49" t="s">
        <v>222</v>
      </c>
      <c r="F49">
        <v>5</v>
      </c>
      <c r="G49">
        <f t="shared" si="0"/>
        <v>0.2</v>
      </c>
      <c r="H49">
        <f>SUMIFS(Home!$E$28:$E$39,Home!$B$28:$B$39,$B49)</f>
        <v>0</v>
      </c>
      <c r="I49">
        <f t="shared" si="1"/>
        <v>0</v>
      </c>
      <c r="J49">
        <f>$G49*Home!$D$5</f>
        <v>0.2</v>
      </c>
      <c r="K49">
        <f>INDEX(Pantry!$I$7:$I$68,MATCH($C49,Pantry!$A$7:$A$68,0))</f>
        <v>5</v>
      </c>
      <c r="L49">
        <f t="shared" si="2"/>
        <v>1</v>
      </c>
      <c r="M49">
        <f t="shared" si="3"/>
        <v>0</v>
      </c>
    </row>
    <row r="50" spans="1:13" x14ac:dyDescent="0.35">
      <c r="A50" t="s">
        <v>45</v>
      </c>
      <c r="B50" t="s">
        <v>46</v>
      </c>
      <c r="C50" t="s">
        <v>226</v>
      </c>
      <c r="D50">
        <v>2</v>
      </c>
      <c r="E50" t="s">
        <v>222</v>
      </c>
      <c r="F50">
        <v>5</v>
      </c>
      <c r="G50">
        <f t="shared" si="0"/>
        <v>0.4</v>
      </c>
      <c r="H50">
        <f>SUMIFS(Home!$E$28:$E$39,Home!$B$28:$B$39,$B50)</f>
        <v>0</v>
      </c>
      <c r="I50">
        <f t="shared" si="1"/>
        <v>0</v>
      </c>
      <c r="J50">
        <f>$G50*Home!$D$5</f>
        <v>0.4</v>
      </c>
      <c r="K50">
        <f>INDEX(Pantry!$I$7:$I$68,MATCH($C50,Pantry!$A$7:$A$68,0))</f>
        <v>8</v>
      </c>
      <c r="L50">
        <f t="shared" si="2"/>
        <v>1</v>
      </c>
      <c r="M50">
        <f t="shared" si="3"/>
        <v>0</v>
      </c>
    </row>
    <row r="51" spans="1:13" x14ac:dyDescent="0.35">
      <c r="A51" t="s">
        <v>45</v>
      </c>
      <c r="B51" t="s">
        <v>46</v>
      </c>
      <c r="C51" t="s">
        <v>227</v>
      </c>
      <c r="D51">
        <v>2</v>
      </c>
      <c r="E51" t="s">
        <v>222</v>
      </c>
      <c r="F51">
        <v>5</v>
      </c>
      <c r="G51">
        <f t="shared" si="0"/>
        <v>0.4</v>
      </c>
      <c r="H51">
        <f>SUMIFS(Home!$E$28:$E$39,Home!$B$28:$B$39,$B51)</f>
        <v>0</v>
      </c>
      <c r="I51">
        <f t="shared" si="1"/>
        <v>0</v>
      </c>
      <c r="J51">
        <f>$G51*Home!$D$5</f>
        <v>0.4</v>
      </c>
      <c r="K51">
        <f>INDEX(Pantry!$I$7:$I$68,MATCH($C51,Pantry!$A$7:$A$68,0))</f>
        <v>6</v>
      </c>
      <c r="L51">
        <f t="shared" si="2"/>
        <v>1</v>
      </c>
      <c r="M51">
        <f t="shared" si="3"/>
        <v>0</v>
      </c>
    </row>
    <row r="52" spans="1:13" x14ac:dyDescent="0.35">
      <c r="A52" t="s">
        <v>45</v>
      </c>
      <c r="B52" t="s">
        <v>46</v>
      </c>
      <c r="C52" t="s">
        <v>215</v>
      </c>
      <c r="D52">
        <v>0.75</v>
      </c>
      <c r="E52" t="s">
        <v>211</v>
      </c>
      <c r="F52">
        <v>5</v>
      </c>
      <c r="G52">
        <f t="shared" si="0"/>
        <v>0.15</v>
      </c>
      <c r="H52">
        <f>SUMIFS(Home!$E$28:$E$39,Home!$B$28:$B$39,$B52)</f>
        <v>0</v>
      </c>
      <c r="I52">
        <f t="shared" si="1"/>
        <v>0</v>
      </c>
      <c r="J52">
        <f>$G52*Home!$D$5</f>
        <v>0.15</v>
      </c>
      <c r="K52">
        <f>INDEX(Pantry!$I$7:$I$68,MATCH($C52,Pantry!$A$7:$A$68,0))</f>
        <v>5</v>
      </c>
      <c r="L52">
        <f t="shared" si="2"/>
        <v>1</v>
      </c>
      <c r="M52">
        <f t="shared" si="3"/>
        <v>0</v>
      </c>
    </row>
    <row r="53" spans="1:13" x14ac:dyDescent="0.35">
      <c r="A53" t="s">
        <v>45</v>
      </c>
      <c r="B53" t="s">
        <v>46</v>
      </c>
      <c r="C53" t="s">
        <v>221</v>
      </c>
      <c r="D53">
        <v>2</v>
      </c>
      <c r="E53" t="s">
        <v>222</v>
      </c>
      <c r="F53">
        <v>5</v>
      </c>
      <c r="G53">
        <f t="shared" si="0"/>
        <v>0.4</v>
      </c>
      <c r="H53">
        <f>SUMIFS(Home!$E$28:$E$39,Home!$B$28:$B$39,$B53)</f>
        <v>0</v>
      </c>
      <c r="I53">
        <f t="shared" si="1"/>
        <v>0</v>
      </c>
      <c r="J53">
        <f>$G53*Home!$D$5</f>
        <v>0.4</v>
      </c>
      <c r="K53">
        <f>INDEX(Pantry!$I$7:$I$68,MATCH($C53,Pantry!$A$7:$A$68,0))</f>
        <v>50</v>
      </c>
      <c r="L53">
        <f t="shared" si="2"/>
        <v>1</v>
      </c>
      <c r="M53">
        <f t="shared" si="3"/>
        <v>0</v>
      </c>
    </row>
    <row r="54" spans="1:13" x14ac:dyDescent="0.35">
      <c r="A54" t="s">
        <v>45</v>
      </c>
      <c r="B54" t="s">
        <v>46</v>
      </c>
      <c r="C54" t="s">
        <v>218</v>
      </c>
      <c r="D54">
        <v>0.5</v>
      </c>
      <c r="E54" t="s">
        <v>217</v>
      </c>
      <c r="F54">
        <v>5</v>
      </c>
      <c r="G54">
        <f t="shared" si="0"/>
        <v>0.1</v>
      </c>
      <c r="H54">
        <f>SUMIFS(Home!$E$28:$E$39,Home!$B$28:$B$39,$B54)</f>
        <v>0</v>
      </c>
      <c r="I54">
        <f t="shared" si="1"/>
        <v>0</v>
      </c>
      <c r="J54">
        <f>$G54*Home!$D$5</f>
        <v>0.1</v>
      </c>
      <c r="K54">
        <f>INDEX(Pantry!$I$7:$I$68,MATCH($C54,Pantry!$A$7:$A$68,0))</f>
        <v>2</v>
      </c>
      <c r="L54">
        <f t="shared" si="2"/>
        <v>1</v>
      </c>
      <c r="M54">
        <f t="shared" si="3"/>
        <v>0</v>
      </c>
    </row>
    <row r="55" spans="1:13" x14ac:dyDescent="0.35">
      <c r="A55" t="s">
        <v>45</v>
      </c>
      <c r="B55" t="s">
        <v>46</v>
      </c>
      <c r="C55" t="s">
        <v>238</v>
      </c>
      <c r="D55">
        <v>2</v>
      </c>
      <c r="E55" t="s">
        <v>213</v>
      </c>
      <c r="F55">
        <v>5</v>
      </c>
      <c r="G55">
        <f t="shared" si="0"/>
        <v>0.4</v>
      </c>
      <c r="H55">
        <f>SUMIFS(Home!$E$28:$E$39,Home!$B$28:$B$39,$B55)</f>
        <v>0</v>
      </c>
      <c r="I55">
        <f t="shared" si="1"/>
        <v>0</v>
      </c>
      <c r="J55">
        <f>$G55*Home!$D$5</f>
        <v>0.4</v>
      </c>
      <c r="K55">
        <f>INDEX(Pantry!$I$7:$I$68,MATCH($C55,Pantry!$A$7:$A$68,0))</f>
        <v>8</v>
      </c>
      <c r="L55">
        <f t="shared" si="2"/>
        <v>1</v>
      </c>
      <c r="M55">
        <f t="shared" si="3"/>
        <v>0</v>
      </c>
    </row>
    <row r="56" spans="1:13" x14ac:dyDescent="0.35">
      <c r="A56" t="s">
        <v>50</v>
      </c>
      <c r="B56" t="s">
        <v>51</v>
      </c>
      <c r="C56" t="s">
        <v>204</v>
      </c>
      <c r="D56">
        <v>1</v>
      </c>
      <c r="E56" t="s">
        <v>205</v>
      </c>
      <c r="F56">
        <v>6</v>
      </c>
      <c r="G56">
        <f t="shared" si="0"/>
        <v>0.16666666666666666</v>
      </c>
      <c r="H56">
        <f>SUMIFS(Home!$E$28:$E$39,Home!$B$28:$B$39,$B56)</f>
        <v>0</v>
      </c>
      <c r="I56">
        <f t="shared" si="1"/>
        <v>0</v>
      </c>
      <c r="J56">
        <f>$G56*Home!$D$5</f>
        <v>0.16666666666666666</v>
      </c>
      <c r="K56">
        <f>INDEX(Pantry!$I$7:$I$68,MATCH($C56,Pantry!$A$7:$A$68,0))</f>
        <v>1</v>
      </c>
      <c r="L56">
        <f t="shared" si="2"/>
        <v>1</v>
      </c>
      <c r="M56">
        <f t="shared" si="3"/>
        <v>0</v>
      </c>
    </row>
    <row r="57" spans="1:13" x14ac:dyDescent="0.35">
      <c r="A57" t="s">
        <v>50</v>
      </c>
      <c r="B57" t="s">
        <v>51</v>
      </c>
      <c r="C57" t="s">
        <v>207</v>
      </c>
      <c r="D57">
        <v>3</v>
      </c>
      <c r="E57" t="s">
        <v>208</v>
      </c>
      <c r="F57">
        <v>6</v>
      </c>
      <c r="G57">
        <f t="shared" si="0"/>
        <v>0.5</v>
      </c>
      <c r="H57">
        <f>SUMIFS(Home!$E$28:$E$39,Home!$B$28:$B$39,$B57)</f>
        <v>0</v>
      </c>
      <c r="I57">
        <f t="shared" si="1"/>
        <v>0</v>
      </c>
      <c r="J57">
        <f>$G57*Home!$D$5</f>
        <v>0.5</v>
      </c>
      <c r="K57">
        <f>INDEX(Pantry!$I$7:$I$68,MATCH($C57,Pantry!$A$7:$A$68,0))</f>
        <v>6</v>
      </c>
      <c r="L57">
        <f t="shared" si="2"/>
        <v>1</v>
      </c>
      <c r="M57">
        <f t="shared" si="3"/>
        <v>0</v>
      </c>
    </row>
    <row r="58" spans="1:13" x14ac:dyDescent="0.35">
      <c r="A58" t="s">
        <v>50</v>
      </c>
      <c r="B58" t="s">
        <v>51</v>
      </c>
      <c r="C58" t="s">
        <v>210</v>
      </c>
      <c r="D58">
        <v>1</v>
      </c>
      <c r="E58" t="s">
        <v>211</v>
      </c>
      <c r="F58">
        <v>6</v>
      </c>
      <c r="G58">
        <f t="shared" si="0"/>
        <v>0.16666666666666666</v>
      </c>
      <c r="H58">
        <f>SUMIFS(Home!$E$28:$E$39,Home!$B$28:$B$39,$B58)</f>
        <v>0</v>
      </c>
      <c r="I58">
        <f t="shared" si="1"/>
        <v>0</v>
      </c>
      <c r="J58">
        <f>$G58*Home!$D$5</f>
        <v>0.16666666666666666</v>
      </c>
      <c r="K58">
        <f>INDEX(Pantry!$I$7:$I$68,MATCH($C58,Pantry!$A$7:$A$68,0))</f>
        <v>2</v>
      </c>
      <c r="L58">
        <f t="shared" si="2"/>
        <v>1</v>
      </c>
      <c r="M58">
        <f t="shared" si="3"/>
        <v>0</v>
      </c>
    </row>
    <row r="59" spans="1:13" x14ac:dyDescent="0.35">
      <c r="A59" t="s">
        <v>50</v>
      </c>
      <c r="B59" t="s">
        <v>51</v>
      </c>
      <c r="C59" t="s">
        <v>239</v>
      </c>
      <c r="D59">
        <v>6</v>
      </c>
      <c r="E59" t="s">
        <v>213</v>
      </c>
      <c r="F59">
        <v>6</v>
      </c>
      <c r="G59">
        <f t="shared" si="0"/>
        <v>1</v>
      </c>
      <c r="H59">
        <f>SUMIFS(Home!$E$28:$E$39,Home!$B$28:$B$39,$B59)</f>
        <v>0</v>
      </c>
      <c r="I59">
        <f t="shared" si="1"/>
        <v>0</v>
      </c>
      <c r="J59">
        <f>$G59*Home!$D$5</f>
        <v>1</v>
      </c>
      <c r="K59">
        <f>INDEX(Pantry!$I$7:$I$68,MATCH($C59,Pantry!$A$7:$A$68,0))</f>
        <v>10</v>
      </c>
      <c r="L59">
        <f t="shared" si="2"/>
        <v>1</v>
      </c>
      <c r="M59">
        <f t="shared" si="3"/>
        <v>0</v>
      </c>
    </row>
    <row r="60" spans="1:13" x14ac:dyDescent="0.35">
      <c r="A60" t="s">
        <v>50</v>
      </c>
      <c r="B60" t="s">
        <v>51</v>
      </c>
      <c r="C60" t="s">
        <v>212</v>
      </c>
      <c r="D60">
        <v>2</v>
      </c>
      <c r="E60" t="s">
        <v>213</v>
      </c>
      <c r="F60">
        <v>6</v>
      </c>
      <c r="G60">
        <f t="shared" si="0"/>
        <v>0.33333333333333331</v>
      </c>
      <c r="H60">
        <f>SUMIFS(Home!$E$28:$E$39,Home!$B$28:$B$39,$B60)</f>
        <v>0</v>
      </c>
      <c r="I60">
        <f t="shared" si="1"/>
        <v>0</v>
      </c>
      <c r="J60">
        <f>$G60*Home!$D$5</f>
        <v>0.33333333333333331</v>
      </c>
      <c r="K60">
        <f>INDEX(Pantry!$I$7:$I$68,MATCH($C60,Pantry!$A$7:$A$68,0))</f>
        <v>1</v>
      </c>
      <c r="L60">
        <f t="shared" si="2"/>
        <v>1</v>
      </c>
      <c r="M60">
        <f t="shared" si="3"/>
        <v>0</v>
      </c>
    </row>
    <row r="61" spans="1:13" x14ac:dyDescent="0.35">
      <c r="A61" t="s">
        <v>50</v>
      </c>
      <c r="B61" t="s">
        <v>51</v>
      </c>
      <c r="C61" t="s">
        <v>225</v>
      </c>
      <c r="D61">
        <v>2</v>
      </c>
      <c r="E61" t="s">
        <v>213</v>
      </c>
      <c r="F61">
        <v>6</v>
      </c>
      <c r="G61">
        <f t="shared" si="0"/>
        <v>0.33333333333333331</v>
      </c>
      <c r="H61">
        <f>SUMIFS(Home!$E$28:$E$39,Home!$B$28:$B$39,$B61)</f>
        <v>0</v>
      </c>
      <c r="I61">
        <f t="shared" si="1"/>
        <v>0</v>
      </c>
      <c r="J61">
        <f>$G61*Home!$D$5</f>
        <v>0.33333333333333331</v>
      </c>
      <c r="K61">
        <f>INDEX(Pantry!$I$7:$I$68,MATCH($C61,Pantry!$A$7:$A$68,0))</f>
        <v>4</v>
      </c>
      <c r="L61">
        <f t="shared" si="2"/>
        <v>1</v>
      </c>
      <c r="M61">
        <f t="shared" si="3"/>
        <v>0</v>
      </c>
    </row>
    <row r="62" spans="1:13" x14ac:dyDescent="0.35">
      <c r="A62" t="s">
        <v>50</v>
      </c>
      <c r="B62" t="s">
        <v>51</v>
      </c>
      <c r="C62" t="s">
        <v>231</v>
      </c>
      <c r="D62">
        <v>2</v>
      </c>
      <c r="E62" t="s">
        <v>222</v>
      </c>
      <c r="F62">
        <v>6</v>
      </c>
      <c r="G62">
        <f t="shared" si="0"/>
        <v>0.33333333333333331</v>
      </c>
      <c r="H62">
        <f>SUMIFS(Home!$E$28:$E$39,Home!$B$28:$B$39,$B62)</f>
        <v>0</v>
      </c>
      <c r="I62">
        <f t="shared" si="1"/>
        <v>0</v>
      </c>
      <c r="J62">
        <f>$G62*Home!$D$5</f>
        <v>0.33333333333333331</v>
      </c>
      <c r="K62">
        <f>INDEX(Pantry!$I$7:$I$68,MATCH($C62,Pantry!$A$7:$A$68,0))</f>
        <v>20</v>
      </c>
      <c r="L62">
        <f t="shared" si="2"/>
        <v>1</v>
      </c>
      <c r="M62">
        <f t="shared" si="3"/>
        <v>0</v>
      </c>
    </row>
    <row r="63" spans="1:13" x14ac:dyDescent="0.35">
      <c r="A63" t="s">
        <v>50</v>
      </c>
      <c r="B63" t="s">
        <v>51</v>
      </c>
      <c r="C63" t="s">
        <v>233</v>
      </c>
      <c r="D63">
        <v>2</v>
      </c>
      <c r="E63" t="s">
        <v>222</v>
      </c>
      <c r="F63">
        <v>6</v>
      </c>
      <c r="G63">
        <f t="shared" si="0"/>
        <v>0.33333333333333331</v>
      </c>
      <c r="H63">
        <f>SUMIFS(Home!$E$28:$E$39,Home!$B$28:$B$39,$B63)</f>
        <v>0</v>
      </c>
      <c r="I63">
        <f t="shared" si="1"/>
        <v>0</v>
      </c>
      <c r="J63">
        <f>$G63*Home!$D$5</f>
        <v>0.33333333333333331</v>
      </c>
      <c r="K63">
        <f>INDEX(Pantry!$I$7:$I$68,MATCH($C63,Pantry!$A$7:$A$68,0))</f>
        <v>12</v>
      </c>
      <c r="L63">
        <f t="shared" si="2"/>
        <v>1</v>
      </c>
      <c r="M63">
        <f t="shared" si="3"/>
        <v>0</v>
      </c>
    </row>
    <row r="64" spans="1:13" x14ac:dyDescent="0.35">
      <c r="A64" t="s">
        <v>50</v>
      </c>
      <c r="B64" t="s">
        <v>51</v>
      </c>
      <c r="C64" t="s">
        <v>234</v>
      </c>
      <c r="D64">
        <v>1</v>
      </c>
      <c r="E64" t="s">
        <v>222</v>
      </c>
      <c r="F64">
        <v>6</v>
      </c>
      <c r="G64">
        <f t="shared" si="0"/>
        <v>0.16666666666666666</v>
      </c>
      <c r="H64">
        <f>SUMIFS(Home!$E$28:$E$39,Home!$B$28:$B$39,$B64)</f>
        <v>0</v>
      </c>
      <c r="I64">
        <f t="shared" si="1"/>
        <v>0</v>
      </c>
      <c r="J64">
        <f>$G64*Home!$D$5</f>
        <v>0.16666666666666666</v>
      </c>
      <c r="K64">
        <f>INDEX(Pantry!$I$7:$I$68,MATCH($C64,Pantry!$A$7:$A$68,0))</f>
        <v>10</v>
      </c>
      <c r="L64">
        <f t="shared" si="2"/>
        <v>1</v>
      </c>
      <c r="M64">
        <f t="shared" si="3"/>
        <v>0</v>
      </c>
    </row>
    <row r="65" spans="1:13" x14ac:dyDescent="0.35">
      <c r="A65" t="s">
        <v>50</v>
      </c>
      <c r="B65" t="s">
        <v>51</v>
      </c>
      <c r="C65" t="s">
        <v>223</v>
      </c>
      <c r="D65">
        <v>0.5</v>
      </c>
      <c r="E65" t="s">
        <v>211</v>
      </c>
      <c r="F65">
        <v>6</v>
      </c>
      <c r="G65">
        <f t="shared" si="0"/>
        <v>8.3333333333333329E-2</v>
      </c>
      <c r="H65">
        <f>SUMIFS(Home!$E$28:$E$39,Home!$B$28:$B$39,$B65)</f>
        <v>0</v>
      </c>
      <c r="I65">
        <f t="shared" si="1"/>
        <v>0</v>
      </c>
      <c r="J65">
        <f>$G65*Home!$D$5</f>
        <v>8.3333333333333329E-2</v>
      </c>
      <c r="K65">
        <f>INDEX(Pantry!$I$7:$I$68,MATCH($C65,Pantry!$A$7:$A$68,0))</f>
        <v>0</v>
      </c>
      <c r="L65">
        <f t="shared" si="2"/>
        <v>0</v>
      </c>
      <c r="M65">
        <f t="shared" si="3"/>
        <v>8.3333333333333329E-2</v>
      </c>
    </row>
    <row r="66" spans="1:13" x14ac:dyDescent="0.35">
      <c r="A66" t="s">
        <v>50</v>
      </c>
      <c r="B66" t="s">
        <v>51</v>
      </c>
      <c r="C66" t="s">
        <v>224</v>
      </c>
      <c r="D66">
        <v>1</v>
      </c>
      <c r="E66" t="s">
        <v>222</v>
      </c>
      <c r="F66">
        <v>6</v>
      </c>
      <c r="G66">
        <f t="shared" si="0"/>
        <v>0.16666666666666666</v>
      </c>
      <c r="H66">
        <f>SUMIFS(Home!$E$28:$E$39,Home!$B$28:$B$39,$B66)</f>
        <v>0</v>
      </c>
      <c r="I66">
        <f t="shared" si="1"/>
        <v>0</v>
      </c>
      <c r="J66">
        <f>$G66*Home!$D$5</f>
        <v>0.16666666666666666</v>
      </c>
      <c r="K66">
        <f>INDEX(Pantry!$I$7:$I$68,MATCH($C66,Pantry!$A$7:$A$68,0))</f>
        <v>2</v>
      </c>
      <c r="L66">
        <f t="shared" si="2"/>
        <v>1</v>
      </c>
      <c r="M66">
        <f t="shared" si="3"/>
        <v>0</v>
      </c>
    </row>
    <row r="67" spans="1:13" x14ac:dyDescent="0.35">
      <c r="A67" t="s">
        <v>50</v>
      </c>
      <c r="B67" t="s">
        <v>51</v>
      </c>
      <c r="C67" t="s">
        <v>221</v>
      </c>
      <c r="D67">
        <v>2</v>
      </c>
      <c r="E67" t="s">
        <v>222</v>
      </c>
      <c r="F67">
        <v>6</v>
      </c>
      <c r="G67">
        <f t="shared" ref="G67:G130" si="4">$D67/$F67</f>
        <v>0.33333333333333331</v>
      </c>
      <c r="H67">
        <f>SUMIFS(Home!$E$28:$E$39,Home!$B$28:$B$39,$B67)</f>
        <v>0</v>
      </c>
      <c r="I67">
        <f t="shared" ref="I67:I130" si="5">$G67*$H67</f>
        <v>0</v>
      </c>
      <c r="J67">
        <f>$G67*Home!$D$5</f>
        <v>0.33333333333333331</v>
      </c>
      <c r="K67">
        <f>INDEX(Pantry!$I$7:$I$68,MATCH($C67,Pantry!$A$7:$A$68,0))</f>
        <v>50</v>
      </c>
      <c r="L67">
        <f t="shared" ref="L67:L130" si="6">IF($K67&gt;=$J67-0.0001,1,0)</f>
        <v>1</v>
      </c>
      <c r="M67">
        <f t="shared" ref="M67:M130" si="7">MAX(0,$J67-$K67)</f>
        <v>0</v>
      </c>
    </row>
    <row r="68" spans="1:13" x14ac:dyDescent="0.35">
      <c r="A68" t="s">
        <v>54</v>
      </c>
      <c r="B68" t="s">
        <v>55</v>
      </c>
      <c r="C68" t="s">
        <v>240</v>
      </c>
      <c r="D68">
        <v>375</v>
      </c>
      <c r="E68" t="s">
        <v>230</v>
      </c>
      <c r="F68">
        <v>4</v>
      </c>
      <c r="G68">
        <f t="shared" si="4"/>
        <v>93.75</v>
      </c>
      <c r="H68">
        <f>SUMIFS(Home!$E$28:$E$39,Home!$B$28:$B$39,$B68)</f>
        <v>0</v>
      </c>
      <c r="I68">
        <f t="shared" si="5"/>
        <v>0</v>
      </c>
      <c r="J68">
        <f>$G68*Home!$D$5</f>
        <v>93.75</v>
      </c>
      <c r="K68">
        <f>INDEX(Pantry!$I$7:$I$68,MATCH($C68,Pantry!$A$7:$A$68,0))</f>
        <v>500</v>
      </c>
      <c r="L68">
        <f t="shared" si="6"/>
        <v>1</v>
      </c>
      <c r="M68">
        <f t="shared" si="7"/>
        <v>0</v>
      </c>
    </row>
    <row r="69" spans="1:13" x14ac:dyDescent="0.35">
      <c r="A69" t="s">
        <v>54</v>
      </c>
      <c r="B69" t="s">
        <v>55</v>
      </c>
      <c r="C69" t="s">
        <v>207</v>
      </c>
      <c r="D69">
        <v>1</v>
      </c>
      <c r="E69" t="s">
        <v>208</v>
      </c>
      <c r="F69">
        <v>4</v>
      </c>
      <c r="G69">
        <f t="shared" si="4"/>
        <v>0.25</v>
      </c>
      <c r="H69">
        <f>SUMIFS(Home!$E$28:$E$39,Home!$B$28:$B$39,$B69)</f>
        <v>0</v>
      </c>
      <c r="I69">
        <f t="shared" si="5"/>
        <v>0</v>
      </c>
      <c r="J69">
        <f>$G69*Home!$D$5</f>
        <v>0.25</v>
      </c>
      <c r="K69">
        <f>INDEX(Pantry!$I$7:$I$68,MATCH($C69,Pantry!$A$7:$A$68,0))</f>
        <v>6</v>
      </c>
      <c r="L69">
        <f t="shared" si="6"/>
        <v>1</v>
      </c>
      <c r="M69">
        <f t="shared" si="7"/>
        <v>0</v>
      </c>
    </row>
    <row r="70" spans="1:13" x14ac:dyDescent="0.35">
      <c r="A70" t="s">
        <v>54</v>
      </c>
      <c r="B70" t="s">
        <v>55</v>
      </c>
      <c r="C70" t="s">
        <v>209</v>
      </c>
      <c r="D70">
        <v>2</v>
      </c>
      <c r="E70" t="s">
        <v>208</v>
      </c>
      <c r="F70">
        <v>4</v>
      </c>
      <c r="G70">
        <f t="shared" si="4"/>
        <v>0.5</v>
      </c>
      <c r="H70">
        <f>SUMIFS(Home!$E$28:$E$39,Home!$B$28:$B$39,$B70)</f>
        <v>0</v>
      </c>
      <c r="I70">
        <f t="shared" si="5"/>
        <v>0</v>
      </c>
      <c r="J70">
        <f>$G70*Home!$D$5</f>
        <v>0.5</v>
      </c>
      <c r="K70">
        <f>INDEX(Pantry!$I$7:$I$68,MATCH($C70,Pantry!$A$7:$A$68,0))</f>
        <v>4</v>
      </c>
      <c r="L70">
        <f t="shared" si="6"/>
        <v>1</v>
      </c>
      <c r="M70">
        <f t="shared" si="7"/>
        <v>0</v>
      </c>
    </row>
    <row r="71" spans="1:13" x14ac:dyDescent="0.35">
      <c r="A71" t="s">
        <v>54</v>
      </c>
      <c r="B71" t="s">
        <v>55</v>
      </c>
      <c r="C71" t="s">
        <v>219</v>
      </c>
      <c r="D71">
        <v>3</v>
      </c>
      <c r="E71" t="s">
        <v>208</v>
      </c>
      <c r="F71">
        <v>4</v>
      </c>
      <c r="G71">
        <f t="shared" si="4"/>
        <v>0.75</v>
      </c>
      <c r="H71">
        <f>SUMIFS(Home!$E$28:$E$39,Home!$B$28:$B$39,$B71)</f>
        <v>0</v>
      </c>
      <c r="I71">
        <f t="shared" si="5"/>
        <v>0</v>
      </c>
      <c r="J71">
        <f>$G71*Home!$D$5</f>
        <v>0.75</v>
      </c>
      <c r="K71">
        <f>INDEX(Pantry!$I$7:$I$68,MATCH($C71,Pantry!$A$7:$A$68,0))</f>
        <v>10</v>
      </c>
      <c r="L71">
        <f t="shared" si="6"/>
        <v>1</v>
      </c>
      <c r="M71">
        <f t="shared" si="7"/>
        <v>0</v>
      </c>
    </row>
    <row r="72" spans="1:13" x14ac:dyDescent="0.35">
      <c r="A72" t="s">
        <v>54</v>
      </c>
      <c r="B72" t="s">
        <v>55</v>
      </c>
      <c r="C72" t="s">
        <v>212</v>
      </c>
      <c r="D72">
        <v>1</v>
      </c>
      <c r="E72" t="s">
        <v>213</v>
      </c>
      <c r="F72">
        <v>4</v>
      </c>
      <c r="G72">
        <f t="shared" si="4"/>
        <v>0.25</v>
      </c>
      <c r="H72">
        <f>SUMIFS(Home!$E$28:$E$39,Home!$B$28:$B$39,$B72)</f>
        <v>0</v>
      </c>
      <c r="I72">
        <f t="shared" si="5"/>
        <v>0</v>
      </c>
      <c r="J72">
        <f>$G72*Home!$D$5</f>
        <v>0.25</v>
      </c>
      <c r="K72">
        <f>INDEX(Pantry!$I$7:$I$68,MATCH($C72,Pantry!$A$7:$A$68,0))</f>
        <v>1</v>
      </c>
      <c r="L72">
        <f t="shared" si="6"/>
        <v>1</v>
      </c>
      <c r="M72">
        <f t="shared" si="7"/>
        <v>0</v>
      </c>
    </row>
    <row r="73" spans="1:13" x14ac:dyDescent="0.35">
      <c r="A73" t="s">
        <v>54</v>
      </c>
      <c r="B73" t="s">
        <v>55</v>
      </c>
      <c r="C73" t="s">
        <v>226</v>
      </c>
      <c r="D73">
        <v>2</v>
      </c>
      <c r="E73" t="s">
        <v>222</v>
      </c>
      <c r="F73">
        <v>4</v>
      </c>
      <c r="G73">
        <f t="shared" si="4"/>
        <v>0.5</v>
      </c>
      <c r="H73">
        <f>SUMIFS(Home!$E$28:$E$39,Home!$B$28:$B$39,$B73)</f>
        <v>0</v>
      </c>
      <c r="I73">
        <f t="shared" si="5"/>
        <v>0</v>
      </c>
      <c r="J73">
        <f>$G73*Home!$D$5</f>
        <v>0.5</v>
      </c>
      <c r="K73">
        <f>INDEX(Pantry!$I$7:$I$68,MATCH($C73,Pantry!$A$7:$A$68,0))</f>
        <v>8</v>
      </c>
      <c r="L73">
        <f t="shared" si="6"/>
        <v>1</v>
      </c>
      <c r="M73">
        <f t="shared" si="7"/>
        <v>0</v>
      </c>
    </row>
    <row r="74" spans="1:13" x14ac:dyDescent="0.35">
      <c r="A74" t="s">
        <v>54</v>
      </c>
      <c r="B74" t="s">
        <v>55</v>
      </c>
      <c r="C74" t="s">
        <v>231</v>
      </c>
      <c r="D74">
        <v>1.5</v>
      </c>
      <c r="E74" t="s">
        <v>222</v>
      </c>
      <c r="F74">
        <v>4</v>
      </c>
      <c r="G74">
        <f t="shared" si="4"/>
        <v>0.375</v>
      </c>
      <c r="H74">
        <f>SUMIFS(Home!$E$28:$E$39,Home!$B$28:$B$39,$B74)</f>
        <v>0</v>
      </c>
      <c r="I74">
        <f t="shared" si="5"/>
        <v>0</v>
      </c>
      <c r="J74">
        <f>$G74*Home!$D$5</f>
        <v>0.375</v>
      </c>
      <c r="K74">
        <f>INDEX(Pantry!$I$7:$I$68,MATCH($C74,Pantry!$A$7:$A$68,0))</f>
        <v>20</v>
      </c>
      <c r="L74">
        <f t="shared" si="6"/>
        <v>1</v>
      </c>
      <c r="M74">
        <f t="shared" si="7"/>
        <v>0</v>
      </c>
    </row>
    <row r="75" spans="1:13" x14ac:dyDescent="0.35">
      <c r="A75" t="s">
        <v>54</v>
      </c>
      <c r="B75" t="s">
        <v>55</v>
      </c>
      <c r="C75" t="s">
        <v>232</v>
      </c>
      <c r="D75">
        <v>0.5</v>
      </c>
      <c r="E75" t="s">
        <v>222</v>
      </c>
      <c r="F75">
        <v>4</v>
      </c>
      <c r="G75">
        <f t="shared" si="4"/>
        <v>0.125</v>
      </c>
      <c r="H75">
        <f>SUMIFS(Home!$E$28:$E$39,Home!$B$28:$B$39,$B75)</f>
        <v>0</v>
      </c>
      <c r="I75">
        <f t="shared" si="5"/>
        <v>0</v>
      </c>
      <c r="J75">
        <f>$G75*Home!$D$5</f>
        <v>0.125</v>
      </c>
      <c r="K75">
        <f>INDEX(Pantry!$I$7:$I$68,MATCH($C75,Pantry!$A$7:$A$68,0))</f>
        <v>15</v>
      </c>
      <c r="L75">
        <f t="shared" si="6"/>
        <v>1</v>
      </c>
      <c r="M75">
        <f t="shared" si="7"/>
        <v>0</v>
      </c>
    </row>
    <row r="76" spans="1:13" x14ac:dyDescent="0.35">
      <c r="A76" t="s">
        <v>54</v>
      </c>
      <c r="B76" t="s">
        <v>55</v>
      </c>
      <c r="C76" t="s">
        <v>215</v>
      </c>
      <c r="D76">
        <v>0.5</v>
      </c>
      <c r="E76" t="s">
        <v>211</v>
      </c>
      <c r="F76">
        <v>4</v>
      </c>
      <c r="G76">
        <f t="shared" si="4"/>
        <v>0.125</v>
      </c>
      <c r="H76">
        <f>SUMIFS(Home!$E$28:$E$39,Home!$B$28:$B$39,$B76)</f>
        <v>0</v>
      </c>
      <c r="I76">
        <f t="shared" si="5"/>
        <v>0</v>
      </c>
      <c r="J76">
        <f>$G76*Home!$D$5</f>
        <v>0.125</v>
      </c>
      <c r="K76">
        <f>INDEX(Pantry!$I$7:$I$68,MATCH($C76,Pantry!$A$7:$A$68,0))</f>
        <v>5</v>
      </c>
      <c r="L76">
        <f t="shared" si="6"/>
        <v>1</v>
      </c>
      <c r="M76">
        <f t="shared" si="7"/>
        <v>0</v>
      </c>
    </row>
    <row r="77" spans="1:13" x14ac:dyDescent="0.35">
      <c r="A77" t="s">
        <v>54</v>
      </c>
      <c r="B77" t="s">
        <v>55</v>
      </c>
      <c r="C77" t="s">
        <v>221</v>
      </c>
      <c r="D77">
        <v>1.5</v>
      </c>
      <c r="E77" t="s">
        <v>222</v>
      </c>
      <c r="F77">
        <v>4</v>
      </c>
      <c r="G77">
        <f t="shared" si="4"/>
        <v>0.375</v>
      </c>
      <c r="H77">
        <f>SUMIFS(Home!$E$28:$E$39,Home!$B$28:$B$39,$B77)</f>
        <v>0</v>
      </c>
      <c r="I77">
        <f t="shared" si="5"/>
        <v>0</v>
      </c>
      <c r="J77">
        <f>$G77*Home!$D$5</f>
        <v>0.375</v>
      </c>
      <c r="K77">
        <f>INDEX(Pantry!$I$7:$I$68,MATCH($C77,Pantry!$A$7:$A$68,0))</f>
        <v>50</v>
      </c>
      <c r="L77">
        <f t="shared" si="6"/>
        <v>1</v>
      </c>
      <c r="M77">
        <f t="shared" si="7"/>
        <v>0</v>
      </c>
    </row>
    <row r="78" spans="1:13" x14ac:dyDescent="0.35">
      <c r="A78" t="s">
        <v>54</v>
      </c>
      <c r="B78" t="s">
        <v>55</v>
      </c>
      <c r="C78" t="s">
        <v>218</v>
      </c>
      <c r="D78">
        <v>0.5</v>
      </c>
      <c r="E78" t="s">
        <v>217</v>
      </c>
      <c r="F78">
        <v>4</v>
      </c>
      <c r="G78">
        <f t="shared" si="4"/>
        <v>0.125</v>
      </c>
      <c r="H78">
        <f>SUMIFS(Home!$E$28:$E$39,Home!$B$28:$B$39,$B78)</f>
        <v>0</v>
      </c>
      <c r="I78">
        <f t="shared" si="5"/>
        <v>0</v>
      </c>
      <c r="J78">
        <f>$G78*Home!$D$5</f>
        <v>0.125</v>
      </c>
      <c r="K78">
        <f>INDEX(Pantry!$I$7:$I$68,MATCH($C78,Pantry!$A$7:$A$68,0))</f>
        <v>2</v>
      </c>
      <c r="L78">
        <f t="shared" si="6"/>
        <v>1</v>
      </c>
      <c r="M78">
        <f t="shared" si="7"/>
        <v>0</v>
      </c>
    </row>
    <row r="79" spans="1:13" x14ac:dyDescent="0.35">
      <c r="A79" t="s">
        <v>54</v>
      </c>
      <c r="B79" t="s">
        <v>55</v>
      </c>
      <c r="C79" t="s">
        <v>241</v>
      </c>
      <c r="D79">
        <v>2</v>
      </c>
      <c r="E79" t="s">
        <v>242</v>
      </c>
      <c r="F79">
        <v>4</v>
      </c>
      <c r="G79">
        <f t="shared" si="4"/>
        <v>0.5</v>
      </c>
      <c r="H79">
        <f>SUMIFS(Home!$E$28:$E$39,Home!$B$28:$B$39,$B79)</f>
        <v>0</v>
      </c>
      <c r="I79">
        <f t="shared" si="5"/>
        <v>0</v>
      </c>
      <c r="J79">
        <f>$G79*Home!$D$5</f>
        <v>0.5</v>
      </c>
      <c r="K79">
        <f>INDEX(Pantry!$I$7:$I$68,MATCH($C79,Pantry!$A$7:$A$68,0))</f>
        <v>4</v>
      </c>
      <c r="L79">
        <f t="shared" si="6"/>
        <v>1</v>
      </c>
      <c r="M79">
        <f t="shared" si="7"/>
        <v>0</v>
      </c>
    </row>
    <row r="80" spans="1:13" x14ac:dyDescent="0.35">
      <c r="A80" t="s">
        <v>58</v>
      </c>
      <c r="B80" t="s">
        <v>59</v>
      </c>
      <c r="C80" t="s">
        <v>243</v>
      </c>
      <c r="D80">
        <v>300</v>
      </c>
      <c r="E80" t="s">
        <v>230</v>
      </c>
      <c r="F80">
        <v>4</v>
      </c>
      <c r="G80">
        <f t="shared" si="4"/>
        <v>75</v>
      </c>
      <c r="H80">
        <f>SUMIFS(Home!$E$28:$E$39,Home!$B$28:$B$39,$B80)</f>
        <v>0</v>
      </c>
      <c r="I80">
        <f t="shared" si="5"/>
        <v>0</v>
      </c>
      <c r="J80">
        <f>$G80*Home!$D$5</f>
        <v>75</v>
      </c>
      <c r="K80">
        <f>INDEX(Pantry!$I$7:$I$68,MATCH($C80,Pantry!$A$7:$A$68,0))</f>
        <v>250</v>
      </c>
      <c r="L80">
        <f t="shared" si="6"/>
        <v>1</v>
      </c>
      <c r="M80">
        <f t="shared" si="7"/>
        <v>0</v>
      </c>
    </row>
    <row r="81" spans="1:13" x14ac:dyDescent="0.35">
      <c r="A81" t="s">
        <v>58</v>
      </c>
      <c r="B81" t="s">
        <v>59</v>
      </c>
      <c r="C81" t="s">
        <v>207</v>
      </c>
      <c r="D81">
        <v>1</v>
      </c>
      <c r="E81" t="s">
        <v>208</v>
      </c>
      <c r="F81">
        <v>4</v>
      </c>
      <c r="G81">
        <f t="shared" si="4"/>
        <v>0.25</v>
      </c>
      <c r="H81">
        <f>SUMIFS(Home!$E$28:$E$39,Home!$B$28:$B$39,$B81)</f>
        <v>0</v>
      </c>
      <c r="I81">
        <f t="shared" si="5"/>
        <v>0</v>
      </c>
      <c r="J81">
        <f>$G81*Home!$D$5</f>
        <v>0.25</v>
      </c>
      <c r="K81">
        <f>INDEX(Pantry!$I$7:$I$68,MATCH($C81,Pantry!$A$7:$A$68,0))</f>
        <v>6</v>
      </c>
      <c r="L81">
        <f t="shared" si="6"/>
        <v>1</v>
      </c>
      <c r="M81">
        <f t="shared" si="7"/>
        <v>0</v>
      </c>
    </row>
    <row r="82" spans="1:13" x14ac:dyDescent="0.35">
      <c r="A82" t="s">
        <v>58</v>
      </c>
      <c r="B82" t="s">
        <v>59</v>
      </c>
      <c r="C82" t="s">
        <v>209</v>
      </c>
      <c r="D82">
        <v>1</v>
      </c>
      <c r="E82" t="s">
        <v>208</v>
      </c>
      <c r="F82">
        <v>4</v>
      </c>
      <c r="G82">
        <f t="shared" si="4"/>
        <v>0.25</v>
      </c>
      <c r="H82">
        <f>SUMIFS(Home!$E$28:$E$39,Home!$B$28:$B$39,$B82)</f>
        <v>0</v>
      </c>
      <c r="I82">
        <f t="shared" si="5"/>
        <v>0</v>
      </c>
      <c r="J82">
        <f>$G82*Home!$D$5</f>
        <v>0.25</v>
      </c>
      <c r="K82">
        <f>INDEX(Pantry!$I$7:$I$68,MATCH($C82,Pantry!$A$7:$A$68,0))</f>
        <v>4</v>
      </c>
      <c r="L82">
        <f t="shared" si="6"/>
        <v>1</v>
      </c>
      <c r="M82">
        <f t="shared" si="7"/>
        <v>0</v>
      </c>
    </row>
    <row r="83" spans="1:13" x14ac:dyDescent="0.35">
      <c r="A83" t="s">
        <v>58</v>
      </c>
      <c r="B83" t="s">
        <v>59</v>
      </c>
      <c r="C83" t="s">
        <v>235</v>
      </c>
      <c r="D83">
        <v>2</v>
      </c>
      <c r="E83" t="s">
        <v>236</v>
      </c>
      <c r="F83">
        <v>4</v>
      </c>
      <c r="G83">
        <f t="shared" si="4"/>
        <v>0.5</v>
      </c>
      <c r="H83">
        <f>SUMIFS(Home!$E$28:$E$39,Home!$B$28:$B$39,$B83)</f>
        <v>0</v>
      </c>
      <c r="I83">
        <f t="shared" si="5"/>
        <v>0</v>
      </c>
      <c r="J83">
        <f>$G83*Home!$D$5</f>
        <v>0.5</v>
      </c>
      <c r="K83">
        <f>INDEX(Pantry!$I$7:$I$68,MATCH($C83,Pantry!$A$7:$A$68,0))</f>
        <v>3</v>
      </c>
      <c r="L83">
        <f t="shared" si="6"/>
        <v>1</v>
      </c>
      <c r="M83">
        <f t="shared" si="7"/>
        <v>0</v>
      </c>
    </row>
    <row r="84" spans="1:13" x14ac:dyDescent="0.35">
      <c r="A84" t="s">
        <v>58</v>
      </c>
      <c r="B84" t="s">
        <v>59</v>
      </c>
      <c r="C84" t="s">
        <v>219</v>
      </c>
      <c r="D84">
        <v>3</v>
      </c>
      <c r="E84" t="s">
        <v>208</v>
      </c>
      <c r="F84">
        <v>4</v>
      </c>
      <c r="G84">
        <f t="shared" si="4"/>
        <v>0.75</v>
      </c>
      <c r="H84">
        <f>SUMIFS(Home!$E$28:$E$39,Home!$B$28:$B$39,$B84)</f>
        <v>0</v>
      </c>
      <c r="I84">
        <f t="shared" si="5"/>
        <v>0</v>
      </c>
      <c r="J84">
        <f>$G84*Home!$D$5</f>
        <v>0.75</v>
      </c>
      <c r="K84">
        <f>INDEX(Pantry!$I$7:$I$68,MATCH($C84,Pantry!$A$7:$A$68,0))</f>
        <v>10</v>
      </c>
      <c r="L84">
        <f t="shared" si="6"/>
        <v>1</v>
      </c>
      <c r="M84">
        <f t="shared" si="7"/>
        <v>0</v>
      </c>
    </row>
    <row r="85" spans="1:13" x14ac:dyDescent="0.35">
      <c r="A85" t="s">
        <v>58</v>
      </c>
      <c r="B85" t="s">
        <v>59</v>
      </c>
      <c r="C85" t="s">
        <v>226</v>
      </c>
      <c r="D85">
        <v>2</v>
      </c>
      <c r="E85" t="s">
        <v>222</v>
      </c>
      <c r="F85">
        <v>4</v>
      </c>
      <c r="G85">
        <f t="shared" si="4"/>
        <v>0.5</v>
      </c>
      <c r="H85">
        <f>SUMIFS(Home!$E$28:$E$39,Home!$B$28:$B$39,$B85)</f>
        <v>0</v>
      </c>
      <c r="I85">
        <f t="shared" si="5"/>
        <v>0</v>
      </c>
      <c r="J85">
        <f>$G85*Home!$D$5</f>
        <v>0.5</v>
      </c>
      <c r="K85">
        <f>INDEX(Pantry!$I$7:$I$68,MATCH($C85,Pantry!$A$7:$A$68,0))</f>
        <v>8</v>
      </c>
      <c r="L85">
        <f t="shared" si="6"/>
        <v>1</v>
      </c>
      <c r="M85">
        <f t="shared" si="7"/>
        <v>0</v>
      </c>
    </row>
    <row r="86" spans="1:13" x14ac:dyDescent="0.35">
      <c r="A86" t="s">
        <v>58</v>
      </c>
      <c r="B86" t="s">
        <v>59</v>
      </c>
      <c r="C86" t="s">
        <v>231</v>
      </c>
      <c r="D86">
        <v>1.5</v>
      </c>
      <c r="E86" t="s">
        <v>222</v>
      </c>
      <c r="F86">
        <v>4</v>
      </c>
      <c r="G86">
        <f t="shared" si="4"/>
        <v>0.375</v>
      </c>
      <c r="H86">
        <f>SUMIFS(Home!$E$28:$E$39,Home!$B$28:$B$39,$B86)</f>
        <v>0</v>
      </c>
      <c r="I86">
        <f t="shared" si="5"/>
        <v>0</v>
      </c>
      <c r="J86">
        <f>$G86*Home!$D$5</f>
        <v>0.375</v>
      </c>
      <c r="K86">
        <f>INDEX(Pantry!$I$7:$I$68,MATCH($C86,Pantry!$A$7:$A$68,0))</f>
        <v>20</v>
      </c>
      <c r="L86">
        <f t="shared" si="6"/>
        <v>1</v>
      </c>
      <c r="M86">
        <f t="shared" si="7"/>
        <v>0</v>
      </c>
    </row>
    <row r="87" spans="1:13" x14ac:dyDescent="0.35">
      <c r="A87" t="s">
        <v>58</v>
      </c>
      <c r="B87" t="s">
        <v>59</v>
      </c>
      <c r="C87" t="s">
        <v>232</v>
      </c>
      <c r="D87">
        <v>0.5</v>
      </c>
      <c r="E87" t="s">
        <v>222</v>
      </c>
      <c r="F87">
        <v>4</v>
      </c>
      <c r="G87">
        <f t="shared" si="4"/>
        <v>0.125</v>
      </c>
      <c r="H87">
        <f>SUMIFS(Home!$E$28:$E$39,Home!$B$28:$B$39,$B87)</f>
        <v>0</v>
      </c>
      <c r="I87">
        <f t="shared" si="5"/>
        <v>0</v>
      </c>
      <c r="J87">
        <f>$G87*Home!$D$5</f>
        <v>0.125</v>
      </c>
      <c r="K87">
        <f>INDEX(Pantry!$I$7:$I$68,MATCH($C87,Pantry!$A$7:$A$68,0))</f>
        <v>15</v>
      </c>
      <c r="L87">
        <f t="shared" si="6"/>
        <v>1</v>
      </c>
      <c r="M87">
        <f t="shared" si="7"/>
        <v>0</v>
      </c>
    </row>
    <row r="88" spans="1:13" x14ac:dyDescent="0.35">
      <c r="A88" t="s">
        <v>58</v>
      </c>
      <c r="B88" t="s">
        <v>59</v>
      </c>
      <c r="C88" t="s">
        <v>215</v>
      </c>
      <c r="D88">
        <v>0.5</v>
      </c>
      <c r="E88" t="s">
        <v>211</v>
      </c>
      <c r="F88">
        <v>4</v>
      </c>
      <c r="G88">
        <f t="shared" si="4"/>
        <v>0.125</v>
      </c>
      <c r="H88">
        <f>SUMIFS(Home!$E$28:$E$39,Home!$B$28:$B$39,$B88)</f>
        <v>0</v>
      </c>
      <c r="I88">
        <f t="shared" si="5"/>
        <v>0</v>
      </c>
      <c r="J88">
        <f>$G88*Home!$D$5</f>
        <v>0.125</v>
      </c>
      <c r="K88">
        <f>INDEX(Pantry!$I$7:$I$68,MATCH($C88,Pantry!$A$7:$A$68,0))</f>
        <v>5</v>
      </c>
      <c r="L88">
        <f t="shared" si="6"/>
        <v>1</v>
      </c>
      <c r="M88">
        <f t="shared" si="7"/>
        <v>0</v>
      </c>
    </row>
    <row r="89" spans="1:13" x14ac:dyDescent="0.35">
      <c r="A89" t="s">
        <v>58</v>
      </c>
      <c r="B89" t="s">
        <v>59</v>
      </c>
      <c r="C89" t="s">
        <v>221</v>
      </c>
      <c r="D89">
        <v>1.5</v>
      </c>
      <c r="E89" t="s">
        <v>222</v>
      </c>
      <c r="F89">
        <v>4</v>
      </c>
      <c r="G89">
        <f t="shared" si="4"/>
        <v>0.375</v>
      </c>
      <c r="H89">
        <f>SUMIFS(Home!$E$28:$E$39,Home!$B$28:$B$39,$B89)</f>
        <v>0</v>
      </c>
      <c r="I89">
        <f t="shared" si="5"/>
        <v>0</v>
      </c>
      <c r="J89">
        <f>$G89*Home!$D$5</f>
        <v>0.375</v>
      </c>
      <c r="K89">
        <f>INDEX(Pantry!$I$7:$I$68,MATCH($C89,Pantry!$A$7:$A$68,0))</f>
        <v>50</v>
      </c>
      <c r="L89">
        <f t="shared" si="6"/>
        <v>1</v>
      </c>
      <c r="M89">
        <f t="shared" si="7"/>
        <v>0</v>
      </c>
    </row>
    <row r="90" spans="1:13" x14ac:dyDescent="0.35">
      <c r="A90" t="s">
        <v>58</v>
      </c>
      <c r="B90" t="s">
        <v>59</v>
      </c>
      <c r="C90" t="s">
        <v>218</v>
      </c>
      <c r="D90">
        <v>0.5</v>
      </c>
      <c r="E90" t="s">
        <v>217</v>
      </c>
      <c r="F90">
        <v>4</v>
      </c>
      <c r="G90">
        <f t="shared" si="4"/>
        <v>0.125</v>
      </c>
      <c r="H90">
        <f>SUMIFS(Home!$E$28:$E$39,Home!$B$28:$B$39,$B90)</f>
        <v>0</v>
      </c>
      <c r="I90">
        <f t="shared" si="5"/>
        <v>0</v>
      </c>
      <c r="J90">
        <f>$G90*Home!$D$5</f>
        <v>0.125</v>
      </c>
      <c r="K90">
        <f>INDEX(Pantry!$I$7:$I$68,MATCH($C90,Pantry!$A$7:$A$68,0))</f>
        <v>2</v>
      </c>
      <c r="L90">
        <f t="shared" si="6"/>
        <v>1</v>
      </c>
      <c r="M90">
        <f t="shared" si="7"/>
        <v>0</v>
      </c>
    </row>
    <row r="91" spans="1:13" x14ac:dyDescent="0.35">
      <c r="A91" t="s">
        <v>58</v>
      </c>
      <c r="B91" t="s">
        <v>59</v>
      </c>
      <c r="C91" t="s">
        <v>238</v>
      </c>
      <c r="D91">
        <v>2</v>
      </c>
      <c r="E91" t="s">
        <v>213</v>
      </c>
      <c r="F91">
        <v>4</v>
      </c>
      <c r="G91">
        <f t="shared" si="4"/>
        <v>0.5</v>
      </c>
      <c r="H91">
        <f>SUMIFS(Home!$E$28:$E$39,Home!$B$28:$B$39,$B91)</f>
        <v>0</v>
      </c>
      <c r="I91">
        <f t="shared" si="5"/>
        <v>0</v>
      </c>
      <c r="J91">
        <f>$G91*Home!$D$5</f>
        <v>0.5</v>
      </c>
      <c r="K91">
        <f>INDEX(Pantry!$I$7:$I$68,MATCH($C91,Pantry!$A$7:$A$68,0))</f>
        <v>8</v>
      </c>
      <c r="L91">
        <f t="shared" si="6"/>
        <v>1</v>
      </c>
      <c r="M91">
        <f t="shared" si="7"/>
        <v>0</v>
      </c>
    </row>
    <row r="92" spans="1:13" x14ac:dyDescent="0.35">
      <c r="A92" t="s">
        <v>62</v>
      </c>
      <c r="B92" t="s">
        <v>63</v>
      </c>
      <c r="C92" t="s">
        <v>244</v>
      </c>
      <c r="D92">
        <v>300</v>
      </c>
      <c r="E92" t="s">
        <v>230</v>
      </c>
      <c r="F92">
        <v>4</v>
      </c>
      <c r="G92">
        <f t="shared" si="4"/>
        <v>75</v>
      </c>
      <c r="H92">
        <f>SUMIFS(Home!$E$28:$E$39,Home!$B$28:$B$39,$B92)</f>
        <v>0</v>
      </c>
      <c r="I92">
        <f t="shared" si="5"/>
        <v>0</v>
      </c>
      <c r="J92">
        <f>$G92*Home!$D$5</f>
        <v>75</v>
      </c>
      <c r="K92">
        <f>INDEX(Pantry!$I$7:$I$68,MATCH($C92,Pantry!$A$7:$A$68,0))</f>
        <v>0</v>
      </c>
      <c r="L92">
        <f t="shared" si="6"/>
        <v>0</v>
      </c>
      <c r="M92">
        <f t="shared" si="7"/>
        <v>75</v>
      </c>
    </row>
    <row r="93" spans="1:13" x14ac:dyDescent="0.35">
      <c r="A93" t="s">
        <v>62</v>
      </c>
      <c r="B93" t="s">
        <v>63</v>
      </c>
      <c r="C93" t="s">
        <v>207</v>
      </c>
      <c r="D93">
        <v>1</v>
      </c>
      <c r="E93" t="s">
        <v>208</v>
      </c>
      <c r="F93">
        <v>4</v>
      </c>
      <c r="G93">
        <f t="shared" si="4"/>
        <v>0.25</v>
      </c>
      <c r="H93">
        <f>SUMIFS(Home!$E$28:$E$39,Home!$B$28:$B$39,$B93)</f>
        <v>0</v>
      </c>
      <c r="I93">
        <f t="shared" si="5"/>
        <v>0</v>
      </c>
      <c r="J93">
        <f>$G93*Home!$D$5</f>
        <v>0.25</v>
      </c>
      <c r="K93">
        <f>INDEX(Pantry!$I$7:$I$68,MATCH($C93,Pantry!$A$7:$A$68,0))</f>
        <v>6</v>
      </c>
      <c r="L93">
        <f t="shared" si="6"/>
        <v>1</v>
      </c>
      <c r="M93">
        <f t="shared" si="7"/>
        <v>0</v>
      </c>
    </row>
    <row r="94" spans="1:13" x14ac:dyDescent="0.35">
      <c r="A94" t="s">
        <v>62</v>
      </c>
      <c r="B94" t="s">
        <v>63</v>
      </c>
      <c r="C94" t="s">
        <v>209</v>
      </c>
      <c r="D94">
        <v>2</v>
      </c>
      <c r="E94" t="s">
        <v>208</v>
      </c>
      <c r="F94">
        <v>4</v>
      </c>
      <c r="G94">
        <f t="shared" si="4"/>
        <v>0.5</v>
      </c>
      <c r="H94">
        <f>SUMIFS(Home!$E$28:$E$39,Home!$B$28:$B$39,$B94)</f>
        <v>0</v>
      </c>
      <c r="I94">
        <f t="shared" si="5"/>
        <v>0</v>
      </c>
      <c r="J94">
        <f>$G94*Home!$D$5</f>
        <v>0.5</v>
      </c>
      <c r="K94">
        <f>INDEX(Pantry!$I$7:$I$68,MATCH($C94,Pantry!$A$7:$A$68,0))</f>
        <v>4</v>
      </c>
      <c r="L94">
        <f t="shared" si="6"/>
        <v>1</v>
      </c>
      <c r="M94">
        <f t="shared" si="7"/>
        <v>0</v>
      </c>
    </row>
    <row r="95" spans="1:13" x14ac:dyDescent="0.35">
      <c r="A95" t="s">
        <v>62</v>
      </c>
      <c r="B95" t="s">
        <v>63</v>
      </c>
      <c r="C95" t="s">
        <v>212</v>
      </c>
      <c r="D95">
        <v>1</v>
      </c>
      <c r="E95" t="s">
        <v>213</v>
      </c>
      <c r="F95">
        <v>4</v>
      </c>
      <c r="G95">
        <f t="shared" si="4"/>
        <v>0.25</v>
      </c>
      <c r="H95">
        <f>SUMIFS(Home!$E$28:$E$39,Home!$B$28:$B$39,$B95)</f>
        <v>0</v>
      </c>
      <c r="I95">
        <f t="shared" si="5"/>
        <v>0</v>
      </c>
      <c r="J95">
        <f>$G95*Home!$D$5</f>
        <v>0.25</v>
      </c>
      <c r="K95">
        <f>INDEX(Pantry!$I$7:$I$68,MATCH($C95,Pantry!$A$7:$A$68,0))</f>
        <v>1</v>
      </c>
      <c r="L95">
        <f t="shared" si="6"/>
        <v>1</v>
      </c>
      <c r="M95">
        <f t="shared" si="7"/>
        <v>0</v>
      </c>
    </row>
    <row r="96" spans="1:13" x14ac:dyDescent="0.35">
      <c r="A96" t="s">
        <v>62</v>
      </c>
      <c r="B96" t="s">
        <v>63</v>
      </c>
      <c r="C96" t="s">
        <v>226</v>
      </c>
      <c r="D96">
        <v>1.5</v>
      </c>
      <c r="E96" t="s">
        <v>222</v>
      </c>
      <c r="F96">
        <v>4</v>
      </c>
      <c r="G96">
        <f t="shared" si="4"/>
        <v>0.375</v>
      </c>
      <c r="H96">
        <f>SUMIFS(Home!$E$28:$E$39,Home!$B$28:$B$39,$B96)</f>
        <v>0</v>
      </c>
      <c r="I96">
        <f t="shared" si="5"/>
        <v>0</v>
      </c>
      <c r="J96">
        <f>$G96*Home!$D$5</f>
        <v>0.375</v>
      </c>
      <c r="K96">
        <f>INDEX(Pantry!$I$7:$I$68,MATCH($C96,Pantry!$A$7:$A$68,0))</f>
        <v>8</v>
      </c>
      <c r="L96">
        <f t="shared" si="6"/>
        <v>1</v>
      </c>
      <c r="M96">
        <f t="shared" si="7"/>
        <v>0</v>
      </c>
    </row>
    <row r="97" spans="1:13" x14ac:dyDescent="0.35">
      <c r="A97" t="s">
        <v>62</v>
      </c>
      <c r="B97" t="s">
        <v>63</v>
      </c>
      <c r="C97" t="s">
        <v>231</v>
      </c>
      <c r="D97">
        <v>1.5</v>
      </c>
      <c r="E97" t="s">
        <v>222</v>
      </c>
      <c r="F97">
        <v>4</v>
      </c>
      <c r="G97">
        <f t="shared" si="4"/>
        <v>0.375</v>
      </c>
      <c r="H97">
        <f>SUMIFS(Home!$E$28:$E$39,Home!$B$28:$B$39,$B97)</f>
        <v>0</v>
      </c>
      <c r="I97">
        <f t="shared" si="5"/>
        <v>0</v>
      </c>
      <c r="J97">
        <f>$G97*Home!$D$5</f>
        <v>0.375</v>
      </c>
      <c r="K97">
        <f>INDEX(Pantry!$I$7:$I$68,MATCH($C97,Pantry!$A$7:$A$68,0))</f>
        <v>20</v>
      </c>
      <c r="L97">
        <f t="shared" si="6"/>
        <v>1</v>
      </c>
      <c r="M97">
        <f t="shared" si="7"/>
        <v>0</v>
      </c>
    </row>
    <row r="98" spans="1:13" x14ac:dyDescent="0.35">
      <c r="A98" t="s">
        <v>62</v>
      </c>
      <c r="B98" t="s">
        <v>63</v>
      </c>
      <c r="C98" t="s">
        <v>232</v>
      </c>
      <c r="D98">
        <v>0.75</v>
      </c>
      <c r="E98" t="s">
        <v>222</v>
      </c>
      <c r="F98">
        <v>4</v>
      </c>
      <c r="G98">
        <f t="shared" si="4"/>
        <v>0.1875</v>
      </c>
      <c r="H98">
        <f>SUMIFS(Home!$E$28:$E$39,Home!$B$28:$B$39,$B98)</f>
        <v>0</v>
      </c>
      <c r="I98">
        <f t="shared" si="5"/>
        <v>0</v>
      </c>
      <c r="J98">
        <f>$G98*Home!$D$5</f>
        <v>0.1875</v>
      </c>
      <c r="K98">
        <f>INDEX(Pantry!$I$7:$I$68,MATCH($C98,Pantry!$A$7:$A$68,0))</f>
        <v>15</v>
      </c>
      <c r="L98">
        <f t="shared" si="6"/>
        <v>1</v>
      </c>
      <c r="M98">
        <f t="shared" si="7"/>
        <v>0</v>
      </c>
    </row>
    <row r="99" spans="1:13" x14ac:dyDescent="0.35">
      <c r="A99" t="s">
        <v>62</v>
      </c>
      <c r="B99" t="s">
        <v>63</v>
      </c>
      <c r="C99" t="s">
        <v>215</v>
      </c>
      <c r="D99">
        <v>0.5</v>
      </c>
      <c r="E99" t="s">
        <v>211</v>
      </c>
      <c r="F99">
        <v>4</v>
      </c>
      <c r="G99">
        <f t="shared" si="4"/>
        <v>0.125</v>
      </c>
      <c r="H99">
        <f>SUMIFS(Home!$E$28:$E$39,Home!$B$28:$B$39,$B99)</f>
        <v>0</v>
      </c>
      <c r="I99">
        <f t="shared" si="5"/>
        <v>0</v>
      </c>
      <c r="J99">
        <f>$G99*Home!$D$5</f>
        <v>0.125</v>
      </c>
      <c r="K99">
        <f>INDEX(Pantry!$I$7:$I$68,MATCH($C99,Pantry!$A$7:$A$68,0))</f>
        <v>5</v>
      </c>
      <c r="L99">
        <f t="shared" si="6"/>
        <v>1</v>
      </c>
      <c r="M99">
        <f t="shared" si="7"/>
        <v>0</v>
      </c>
    </row>
    <row r="100" spans="1:13" x14ac:dyDescent="0.35">
      <c r="A100" t="s">
        <v>62</v>
      </c>
      <c r="B100" t="s">
        <v>63</v>
      </c>
      <c r="C100" t="s">
        <v>221</v>
      </c>
      <c r="D100">
        <v>1.5</v>
      </c>
      <c r="E100" t="s">
        <v>222</v>
      </c>
      <c r="F100">
        <v>4</v>
      </c>
      <c r="G100">
        <f t="shared" si="4"/>
        <v>0.375</v>
      </c>
      <c r="H100">
        <f>SUMIFS(Home!$E$28:$E$39,Home!$B$28:$B$39,$B100)</f>
        <v>0</v>
      </c>
      <c r="I100">
        <f t="shared" si="5"/>
        <v>0</v>
      </c>
      <c r="J100">
        <f>$G100*Home!$D$5</f>
        <v>0.375</v>
      </c>
      <c r="K100">
        <f>INDEX(Pantry!$I$7:$I$68,MATCH($C100,Pantry!$A$7:$A$68,0))</f>
        <v>50</v>
      </c>
      <c r="L100">
        <f t="shared" si="6"/>
        <v>1</v>
      </c>
      <c r="M100">
        <f t="shared" si="7"/>
        <v>0</v>
      </c>
    </row>
    <row r="101" spans="1:13" x14ac:dyDescent="0.35">
      <c r="A101" t="s">
        <v>62</v>
      </c>
      <c r="B101" t="s">
        <v>63</v>
      </c>
      <c r="C101" t="s">
        <v>241</v>
      </c>
      <c r="D101">
        <v>2</v>
      </c>
      <c r="E101" t="s">
        <v>242</v>
      </c>
      <c r="F101">
        <v>4</v>
      </c>
      <c r="G101">
        <f t="shared" si="4"/>
        <v>0.5</v>
      </c>
      <c r="H101">
        <f>SUMIFS(Home!$E$28:$E$39,Home!$B$28:$B$39,$B101)</f>
        <v>0</v>
      </c>
      <c r="I101">
        <f t="shared" si="5"/>
        <v>0</v>
      </c>
      <c r="J101">
        <f>$G101*Home!$D$5</f>
        <v>0.5</v>
      </c>
      <c r="K101">
        <f>INDEX(Pantry!$I$7:$I$68,MATCH($C101,Pantry!$A$7:$A$68,0))</f>
        <v>4</v>
      </c>
      <c r="L101">
        <f t="shared" si="6"/>
        <v>1</v>
      </c>
      <c r="M101">
        <f t="shared" si="7"/>
        <v>0</v>
      </c>
    </row>
    <row r="102" spans="1:13" x14ac:dyDescent="0.35">
      <c r="A102" t="s">
        <v>62</v>
      </c>
      <c r="B102" t="s">
        <v>63</v>
      </c>
      <c r="C102" t="s">
        <v>219</v>
      </c>
      <c r="D102">
        <v>2</v>
      </c>
      <c r="E102" t="s">
        <v>208</v>
      </c>
      <c r="F102">
        <v>4</v>
      </c>
      <c r="G102">
        <f t="shared" si="4"/>
        <v>0.5</v>
      </c>
      <c r="H102">
        <f>SUMIFS(Home!$E$28:$E$39,Home!$B$28:$B$39,$B102)</f>
        <v>0</v>
      </c>
      <c r="I102">
        <f t="shared" si="5"/>
        <v>0</v>
      </c>
      <c r="J102">
        <f>$G102*Home!$D$5</f>
        <v>0.5</v>
      </c>
      <c r="K102">
        <f>INDEX(Pantry!$I$7:$I$68,MATCH($C102,Pantry!$A$7:$A$68,0))</f>
        <v>10</v>
      </c>
      <c r="L102">
        <f t="shared" si="6"/>
        <v>1</v>
      </c>
      <c r="M102">
        <f t="shared" si="7"/>
        <v>0</v>
      </c>
    </row>
    <row r="103" spans="1:13" x14ac:dyDescent="0.35">
      <c r="A103" t="s">
        <v>62</v>
      </c>
      <c r="B103" t="s">
        <v>63</v>
      </c>
      <c r="C103" t="s">
        <v>220</v>
      </c>
      <c r="D103">
        <v>1</v>
      </c>
      <c r="E103" t="s">
        <v>208</v>
      </c>
      <c r="F103">
        <v>4</v>
      </c>
      <c r="G103">
        <f t="shared" si="4"/>
        <v>0.25</v>
      </c>
      <c r="H103">
        <f>SUMIFS(Home!$E$28:$E$39,Home!$B$28:$B$39,$B103)</f>
        <v>0</v>
      </c>
      <c r="I103">
        <f t="shared" si="5"/>
        <v>0</v>
      </c>
      <c r="J103">
        <f>$G103*Home!$D$5</f>
        <v>0.25</v>
      </c>
      <c r="K103">
        <f>INDEX(Pantry!$I$7:$I$68,MATCH($C103,Pantry!$A$7:$A$68,0))</f>
        <v>1</v>
      </c>
      <c r="L103">
        <f t="shared" si="6"/>
        <v>1</v>
      </c>
      <c r="M103">
        <f t="shared" si="7"/>
        <v>0</v>
      </c>
    </row>
    <row r="104" spans="1:13" x14ac:dyDescent="0.35">
      <c r="A104" t="s">
        <v>66</v>
      </c>
      <c r="B104" t="s">
        <v>67</v>
      </c>
      <c r="C104" t="s">
        <v>245</v>
      </c>
      <c r="D104">
        <v>0.75</v>
      </c>
      <c r="E104" t="s">
        <v>205</v>
      </c>
      <c r="F104">
        <v>5</v>
      </c>
      <c r="G104">
        <f t="shared" si="4"/>
        <v>0.15</v>
      </c>
      <c r="H104">
        <f>SUMIFS(Home!$E$28:$E$39,Home!$B$28:$B$39,$B104)</f>
        <v>0</v>
      </c>
      <c r="I104">
        <f t="shared" si="5"/>
        <v>0</v>
      </c>
      <c r="J104">
        <f>$G104*Home!$D$5</f>
        <v>0.15</v>
      </c>
      <c r="K104">
        <f>INDEX(Pantry!$I$7:$I$68,MATCH($C104,Pantry!$A$7:$A$68,0))</f>
        <v>0</v>
      </c>
      <c r="L104">
        <f t="shared" si="6"/>
        <v>0</v>
      </c>
      <c r="M104">
        <f t="shared" si="7"/>
        <v>0.15</v>
      </c>
    </row>
    <row r="105" spans="1:13" x14ac:dyDescent="0.35">
      <c r="A105" t="s">
        <v>66</v>
      </c>
      <c r="B105" t="s">
        <v>67</v>
      </c>
      <c r="C105" t="s">
        <v>246</v>
      </c>
      <c r="D105">
        <v>4</v>
      </c>
      <c r="E105" t="s">
        <v>208</v>
      </c>
      <c r="F105">
        <v>5</v>
      </c>
      <c r="G105">
        <f t="shared" si="4"/>
        <v>0.8</v>
      </c>
      <c r="H105">
        <f>SUMIFS(Home!$E$28:$E$39,Home!$B$28:$B$39,$B105)</f>
        <v>0</v>
      </c>
      <c r="I105">
        <f t="shared" si="5"/>
        <v>0</v>
      </c>
      <c r="J105">
        <f>$G105*Home!$D$5</f>
        <v>0.8</v>
      </c>
      <c r="K105">
        <f>INDEX(Pantry!$I$7:$I$68,MATCH($C105,Pantry!$A$7:$A$68,0))</f>
        <v>5</v>
      </c>
      <c r="L105">
        <f t="shared" si="6"/>
        <v>1</v>
      </c>
      <c r="M105">
        <f t="shared" si="7"/>
        <v>0</v>
      </c>
    </row>
    <row r="106" spans="1:13" x14ac:dyDescent="0.35">
      <c r="A106" t="s">
        <v>66</v>
      </c>
      <c r="B106" t="s">
        <v>67</v>
      </c>
      <c r="C106" t="s">
        <v>207</v>
      </c>
      <c r="D106">
        <v>3</v>
      </c>
      <c r="E106" t="s">
        <v>208</v>
      </c>
      <c r="F106">
        <v>5</v>
      </c>
      <c r="G106">
        <f t="shared" si="4"/>
        <v>0.6</v>
      </c>
      <c r="H106">
        <f>SUMIFS(Home!$E$28:$E$39,Home!$B$28:$B$39,$B106)</f>
        <v>0</v>
      </c>
      <c r="I106">
        <f t="shared" si="5"/>
        <v>0</v>
      </c>
      <c r="J106">
        <f>$G106*Home!$D$5</f>
        <v>0.6</v>
      </c>
      <c r="K106">
        <f>INDEX(Pantry!$I$7:$I$68,MATCH($C106,Pantry!$A$7:$A$68,0))</f>
        <v>6</v>
      </c>
      <c r="L106">
        <f t="shared" si="6"/>
        <v>1</v>
      </c>
      <c r="M106">
        <f t="shared" si="7"/>
        <v>0</v>
      </c>
    </row>
    <row r="107" spans="1:13" x14ac:dyDescent="0.35">
      <c r="A107" t="s">
        <v>66</v>
      </c>
      <c r="B107" t="s">
        <v>67</v>
      </c>
      <c r="C107" t="s">
        <v>212</v>
      </c>
      <c r="D107">
        <v>2</v>
      </c>
      <c r="E107" t="s">
        <v>213</v>
      </c>
      <c r="F107">
        <v>5</v>
      </c>
      <c r="G107">
        <f t="shared" si="4"/>
        <v>0.4</v>
      </c>
      <c r="H107">
        <f>SUMIFS(Home!$E$28:$E$39,Home!$B$28:$B$39,$B107)</f>
        <v>0</v>
      </c>
      <c r="I107">
        <f t="shared" si="5"/>
        <v>0</v>
      </c>
      <c r="J107">
        <f>$G107*Home!$D$5</f>
        <v>0.4</v>
      </c>
      <c r="K107">
        <f>INDEX(Pantry!$I$7:$I$68,MATCH($C107,Pantry!$A$7:$A$68,0))</f>
        <v>1</v>
      </c>
      <c r="L107">
        <f t="shared" si="6"/>
        <v>1</v>
      </c>
      <c r="M107">
        <f t="shared" si="7"/>
        <v>0</v>
      </c>
    </row>
    <row r="108" spans="1:13" x14ac:dyDescent="0.35">
      <c r="A108" t="s">
        <v>66</v>
      </c>
      <c r="B108" t="s">
        <v>67</v>
      </c>
      <c r="C108" t="s">
        <v>210</v>
      </c>
      <c r="D108">
        <v>0.5</v>
      </c>
      <c r="E108" t="s">
        <v>211</v>
      </c>
      <c r="F108">
        <v>5</v>
      </c>
      <c r="G108">
        <f t="shared" si="4"/>
        <v>0.1</v>
      </c>
      <c r="H108">
        <f>SUMIFS(Home!$E$28:$E$39,Home!$B$28:$B$39,$B108)</f>
        <v>0</v>
      </c>
      <c r="I108">
        <f t="shared" si="5"/>
        <v>0</v>
      </c>
      <c r="J108">
        <f>$G108*Home!$D$5</f>
        <v>0.1</v>
      </c>
      <c r="K108">
        <f>INDEX(Pantry!$I$7:$I$68,MATCH($C108,Pantry!$A$7:$A$68,0))</f>
        <v>2</v>
      </c>
      <c r="L108">
        <f t="shared" si="6"/>
        <v>1</v>
      </c>
      <c r="M108">
        <f t="shared" si="7"/>
        <v>0</v>
      </c>
    </row>
    <row r="109" spans="1:13" x14ac:dyDescent="0.35">
      <c r="A109" t="s">
        <v>66</v>
      </c>
      <c r="B109" t="s">
        <v>67</v>
      </c>
      <c r="C109" t="s">
        <v>231</v>
      </c>
      <c r="D109">
        <v>2</v>
      </c>
      <c r="E109" t="s">
        <v>222</v>
      </c>
      <c r="F109">
        <v>5</v>
      </c>
      <c r="G109">
        <f t="shared" si="4"/>
        <v>0.4</v>
      </c>
      <c r="H109">
        <f>SUMIFS(Home!$E$28:$E$39,Home!$B$28:$B$39,$B109)</f>
        <v>0</v>
      </c>
      <c r="I109">
        <f t="shared" si="5"/>
        <v>0</v>
      </c>
      <c r="J109">
        <f>$G109*Home!$D$5</f>
        <v>0.4</v>
      </c>
      <c r="K109">
        <f>INDEX(Pantry!$I$7:$I$68,MATCH($C109,Pantry!$A$7:$A$68,0))</f>
        <v>20</v>
      </c>
      <c r="L109">
        <f t="shared" si="6"/>
        <v>1</v>
      </c>
      <c r="M109">
        <f t="shared" si="7"/>
        <v>0</v>
      </c>
    </row>
    <row r="110" spans="1:13" x14ac:dyDescent="0.35">
      <c r="A110" t="s">
        <v>66</v>
      </c>
      <c r="B110" t="s">
        <v>67</v>
      </c>
      <c r="C110" t="s">
        <v>247</v>
      </c>
      <c r="D110">
        <v>1</v>
      </c>
      <c r="E110" t="s">
        <v>222</v>
      </c>
      <c r="F110">
        <v>5</v>
      </c>
      <c r="G110">
        <f t="shared" si="4"/>
        <v>0.2</v>
      </c>
      <c r="H110">
        <f>SUMIFS(Home!$E$28:$E$39,Home!$B$28:$B$39,$B110)</f>
        <v>0</v>
      </c>
      <c r="I110">
        <f t="shared" si="5"/>
        <v>0</v>
      </c>
      <c r="J110">
        <f>$G110*Home!$D$5</f>
        <v>0.2</v>
      </c>
      <c r="K110">
        <f>INDEX(Pantry!$I$7:$I$68,MATCH($C110,Pantry!$A$7:$A$68,0))</f>
        <v>0</v>
      </c>
      <c r="L110">
        <f t="shared" si="6"/>
        <v>0</v>
      </c>
      <c r="M110">
        <f t="shared" si="7"/>
        <v>0.2</v>
      </c>
    </row>
    <row r="111" spans="1:13" x14ac:dyDescent="0.35">
      <c r="A111" t="s">
        <v>66</v>
      </c>
      <c r="B111" t="s">
        <v>67</v>
      </c>
      <c r="C111" t="s">
        <v>232</v>
      </c>
      <c r="D111">
        <v>1</v>
      </c>
      <c r="E111" t="s">
        <v>222</v>
      </c>
      <c r="F111">
        <v>5</v>
      </c>
      <c r="G111">
        <f t="shared" si="4"/>
        <v>0.2</v>
      </c>
      <c r="H111">
        <f>SUMIFS(Home!$E$28:$E$39,Home!$B$28:$B$39,$B111)</f>
        <v>0</v>
      </c>
      <c r="I111">
        <f t="shared" si="5"/>
        <v>0</v>
      </c>
      <c r="J111">
        <f>$G111*Home!$D$5</f>
        <v>0.2</v>
      </c>
      <c r="K111">
        <f>INDEX(Pantry!$I$7:$I$68,MATCH($C111,Pantry!$A$7:$A$68,0))</f>
        <v>15</v>
      </c>
      <c r="L111">
        <f t="shared" si="6"/>
        <v>1</v>
      </c>
      <c r="M111">
        <f t="shared" si="7"/>
        <v>0</v>
      </c>
    </row>
    <row r="112" spans="1:13" x14ac:dyDescent="0.35">
      <c r="A112" t="s">
        <v>66</v>
      </c>
      <c r="B112" t="s">
        <v>67</v>
      </c>
      <c r="C112" t="s">
        <v>233</v>
      </c>
      <c r="D112">
        <v>2</v>
      </c>
      <c r="E112" t="s">
        <v>222</v>
      </c>
      <c r="F112">
        <v>5</v>
      </c>
      <c r="G112">
        <f t="shared" si="4"/>
        <v>0.4</v>
      </c>
      <c r="H112">
        <f>SUMIFS(Home!$E$28:$E$39,Home!$B$28:$B$39,$B112)</f>
        <v>0</v>
      </c>
      <c r="I112">
        <f t="shared" si="5"/>
        <v>0</v>
      </c>
      <c r="J112">
        <f>$G112*Home!$D$5</f>
        <v>0.4</v>
      </c>
      <c r="K112">
        <f>INDEX(Pantry!$I$7:$I$68,MATCH($C112,Pantry!$A$7:$A$68,0))</f>
        <v>12</v>
      </c>
      <c r="L112">
        <f t="shared" si="6"/>
        <v>1</v>
      </c>
      <c r="M112">
        <f t="shared" si="7"/>
        <v>0</v>
      </c>
    </row>
    <row r="113" spans="1:13" x14ac:dyDescent="0.35">
      <c r="A113" t="s">
        <v>66</v>
      </c>
      <c r="B113" t="s">
        <v>67</v>
      </c>
      <c r="C113" t="s">
        <v>225</v>
      </c>
      <c r="D113">
        <v>1</v>
      </c>
      <c r="E113" t="s">
        <v>213</v>
      </c>
      <c r="F113">
        <v>5</v>
      </c>
      <c r="G113">
        <f t="shared" si="4"/>
        <v>0.2</v>
      </c>
      <c r="H113">
        <f>SUMIFS(Home!$E$28:$E$39,Home!$B$28:$B$39,$B113)</f>
        <v>0</v>
      </c>
      <c r="I113">
        <f t="shared" si="5"/>
        <v>0</v>
      </c>
      <c r="J113">
        <f>$G113*Home!$D$5</f>
        <v>0.2</v>
      </c>
      <c r="K113">
        <f>INDEX(Pantry!$I$7:$I$68,MATCH($C113,Pantry!$A$7:$A$68,0))</f>
        <v>4</v>
      </c>
      <c r="L113">
        <f t="shared" si="6"/>
        <v>1</v>
      </c>
      <c r="M113">
        <f t="shared" si="7"/>
        <v>0</v>
      </c>
    </row>
    <row r="114" spans="1:13" x14ac:dyDescent="0.35">
      <c r="A114" t="s">
        <v>66</v>
      </c>
      <c r="B114" t="s">
        <v>67</v>
      </c>
      <c r="C114" t="s">
        <v>215</v>
      </c>
      <c r="D114">
        <v>0.75</v>
      </c>
      <c r="E114" t="s">
        <v>211</v>
      </c>
      <c r="F114">
        <v>5</v>
      </c>
      <c r="G114">
        <f t="shared" si="4"/>
        <v>0.15</v>
      </c>
      <c r="H114">
        <f>SUMIFS(Home!$E$28:$E$39,Home!$B$28:$B$39,$B114)</f>
        <v>0</v>
      </c>
      <c r="I114">
        <f t="shared" si="5"/>
        <v>0</v>
      </c>
      <c r="J114">
        <f>$G114*Home!$D$5</f>
        <v>0.15</v>
      </c>
      <c r="K114">
        <f>INDEX(Pantry!$I$7:$I$68,MATCH($C114,Pantry!$A$7:$A$68,0))</f>
        <v>5</v>
      </c>
      <c r="L114">
        <f t="shared" si="6"/>
        <v>1</v>
      </c>
      <c r="M114">
        <f t="shared" si="7"/>
        <v>0</v>
      </c>
    </row>
    <row r="115" spans="1:13" x14ac:dyDescent="0.35">
      <c r="A115" t="s">
        <v>66</v>
      </c>
      <c r="B115" t="s">
        <v>67</v>
      </c>
      <c r="C115" t="s">
        <v>221</v>
      </c>
      <c r="D115">
        <v>2</v>
      </c>
      <c r="E115" t="s">
        <v>222</v>
      </c>
      <c r="F115">
        <v>5</v>
      </c>
      <c r="G115">
        <f t="shared" si="4"/>
        <v>0.4</v>
      </c>
      <c r="H115">
        <f>SUMIFS(Home!$E$28:$E$39,Home!$B$28:$B$39,$B115)</f>
        <v>0</v>
      </c>
      <c r="I115">
        <f t="shared" si="5"/>
        <v>0</v>
      </c>
      <c r="J115">
        <f>$G115*Home!$D$5</f>
        <v>0.4</v>
      </c>
      <c r="K115">
        <f>INDEX(Pantry!$I$7:$I$68,MATCH($C115,Pantry!$A$7:$A$68,0))</f>
        <v>50</v>
      </c>
      <c r="L115">
        <f t="shared" si="6"/>
        <v>1</v>
      </c>
      <c r="M115">
        <f t="shared" si="7"/>
        <v>0</v>
      </c>
    </row>
    <row r="116" spans="1:13" x14ac:dyDescent="0.35">
      <c r="A116" t="s">
        <v>66</v>
      </c>
      <c r="B116" t="s">
        <v>67</v>
      </c>
      <c r="C116" t="s">
        <v>218</v>
      </c>
      <c r="D116">
        <v>0.5</v>
      </c>
      <c r="E116" t="s">
        <v>217</v>
      </c>
      <c r="F116">
        <v>5</v>
      </c>
      <c r="G116">
        <f t="shared" si="4"/>
        <v>0.1</v>
      </c>
      <c r="H116">
        <f>SUMIFS(Home!$E$28:$E$39,Home!$B$28:$B$39,$B116)</f>
        <v>0</v>
      </c>
      <c r="I116">
        <f t="shared" si="5"/>
        <v>0</v>
      </c>
      <c r="J116">
        <f>$G116*Home!$D$5</f>
        <v>0.1</v>
      </c>
      <c r="K116">
        <f>INDEX(Pantry!$I$7:$I$68,MATCH($C116,Pantry!$A$7:$A$68,0))</f>
        <v>2</v>
      </c>
      <c r="L116">
        <f t="shared" si="6"/>
        <v>1</v>
      </c>
      <c r="M116">
        <f t="shared" si="7"/>
        <v>0</v>
      </c>
    </row>
    <row r="117" spans="1:13" x14ac:dyDescent="0.35">
      <c r="A117" t="s">
        <v>66</v>
      </c>
      <c r="B117" t="s">
        <v>67</v>
      </c>
      <c r="C117" t="s">
        <v>219</v>
      </c>
      <c r="D117">
        <v>3</v>
      </c>
      <c r="E117" t="s">
        <v>208</v>
      </c>
      <c r="F117">
        <v>5</v>
      </c>
      <c r="G117">
        <f t="shared" si="4"/>
        <v>0.6</v>
      </c>
      <c r="H117">
        <f>SUMIFS(Home!$E$28:$E$39,Home!$B$28:$B$39,$B117)</f>
        <v>0</v>
      </c>
      <c r="I117">
        <f t="shared" si="5"/>
        <v>0</v>
      </c>
      <c r="J117">
        <f>$G117*Home!$D$5</f>
        <v>0.6</v>
      </c>
      <c r="K117">
        <f>INDEX(Pantry!$I$7:$I$68,MATCH($C117,Pantry!$A$7:$A$68,0))</f>
        <v>10</v>
      </c>
      <c r="L117">
        <f t="shared" si="6"/>
        <v>1</v>
      </c>
      <c r="M117">
        <f t="shared" si="7"/>
        <v>0</v>
      </c>
    </row>
    <row r="118" spans="1:13" x14ac:dyDescent="0.35">
      <c r="A118" t="s">
        <v>70</v>
      </c>
      <c r="B118" t="s">
        <v>71</v>
      </c>
      <c r="C118" t="s">
        <v>248</v>
      </c>
      <c r="D118">
        <v>0.5</v>
      </c>
      <c r="E118" t="s">
        <v>205</v>
      </c>
      <c r="F118">
        <v>6</v>
      </c>
      <c r="G118">
        <f t="shared" si="4"/>
        <v>8.3333333333333329E-2</v>
      </c>
      <c r="H118">
        <f>SUMIFS(Home!$E$28:$E$39,Home!$B$28:$B$39,$B118)</f>
        <v>0</v>
      </c>
      <c r="I118">
        <f t="shared" si="5"/>
        <v>0</v>
      </c>
      <c r="J118">
        <f>$G118*Home!$D$5</f>
        <v>8.3333333333333329E-2</v>
      </c>
      <c r="K118">
        <f>INDEX(Pantry!$I$7:$I$68,MATCH($C118,Pantry!$A$7:$A$68,0))</f>
        <v>1</v>
      </c>
      <c r="L118">
        <f t="shared" si="6"/>
        <v>1</v>
      </c>
      <c r="M118">
        <f t="shared" si="7"/>
        <v>0</v>
      </c>
    </row>
    <row r="119" spans="1:13" x14ac:dyDescent="0.35">
      <c r="A119" t="s">
        <v>70</v>
      </c>
      <c r="B119" t="s">
        <v>71</v>
      </c>
      <c r="C119" t="s">
        <v>240</v>
      </c>
      <c r="D119">
        <v>250</v>
      </c>
      <c r="E119" t="s">
        <v>230</v>
      </c>
      <c r="F119">
        <v>6</v>
      </c>
      <c r="G119">
        <f t="shared" si="4"/>
        <v>41.666666666666664</v>
      </c>
      <c r="H119">
        <f>SUMIFS(Home!$E$28:$E$39,Home!$B$28:$B$39,$B119)</f>
        <v>0</v>
      </c>
      <c r="I119">
        <f t="shared" si="5"/>
        <v>0</v>
      </c>
      <c r="J119">
        <f>$G119*Home!$D$5</f>
        <v>41.666666666666664</v>
      </c>
      <c r="K119">
        <f>INDEX(Pantry!$I$7:$I$68,MATCH($C119,Pantry!$A$7:$A$68,0))</f>
        <v>500</v>
      </c>
      <c r="L119">
        <f t="shared" si="6"/>
        <v>1</v>
      </c>
      <c r="M119">
        <f t="shared" si="7"/>
        <v>0</v>
      </c>
    </row>
    <row r="120" spans="1:13" x14ac:dyDescent="0.35">
      <c r="A120" t="s">
        <v>70</v>
      </c>
      <c r="B120" t="s">
        <v>71</v>
      </c>
      <c r="C120" t="s">
        <v>207</v>
      </c>
      <c r="D120">
        <v>1</v>
      </c>
      <c r="E120" t="s">
        <v>208</v>
      </c>
      <c r="F120">
        <v>6</v>
      </c>
      <c r="G120">
        <f t="shared" si="4"/>
        <v>0.16666666666666666</v>
      </c>
      <c r="H120">
        <f>SUMIFS(Home!$E$28:$E$39,Home!$B$28:$B$39,$B120)</f>
        <v>0</v>
      </c>
      <c r="I120">
        <f t="shared" si="5"/>
        <v>0</v>
      </c>
      <c r="J120">
        <f>$G120*Home!$D$5</f>
        <v>0.16666666666666666</v>
      </c>
      <c r="K120">
        <f>INDEX(Pantry!$I$7:$I$68,MATCH($C120,Pantry!$A$7:$A$68,0))</f>
        <v>6</v>
      </c>
      <c r="L120">
        <f t="shared" si="6"/>
        <v>1</v>
      </c>
      <c r="M120">
        <f t="shared" si="7"/>
        <v>0</v>
      </c>
    </row>
    <row r="121" spans="1:13" x14ac:dyDescent="0.35">
      <c r="A121" t="s">
        <v>70</v>
      </c>
      <c r="B121" t="s">
        <v>71</v>
      </c>
      <c r="C121" t="s">
        <v>225</v>
      </c>
      <c r="D121">
        <v>2</v>
      </c>
      <c r="E121" t="s">
        <v>213</v>
      </c>
      <c r="F121">
        <v>6</v>
      </c>
      <c r="G121">
        <f t="shared" si="4"/>
        <v>0.33333333333333331</v>
      </c>
      <c r="H121">
        <f>SUMIFS(Home!$E$28:$E$39,Home!$B$28:$B$39,$B121)</f>
        <v>0</v>
      </c>
      <c r="I121">
        <f t="shared" si="5"/>
        <v>0</v>
      </c>
      <c r="J121">
        <f>$G121*Home!$D$5</f>
        <v>0.33333333333333331</v>
      </c>
      <c r="K121">
        <f>INDEX(Pantry!$I$7:$I$68,MATCH($C121,Pantry!$A$7:$A$68,0))</f>
        <v>4</v>
      </c>
      <c r="L121">
        <f t="shared" si="6"/>
        <v>1</v>
      </c>
      <c r="M121">
        <f t="shared" si="7"/>
        <v>0</v>
      </c>
    </row>
    <row r="122" spans="1:13" x14ac:dyDescent="0.35">
      <c r="A122" t="s">
        <v>70</v>
      </c>
      <c r="B122" t="s">
        <v>71</v>
      </c>
      <c r="C122" t="s">
        <v>212</v>
      </c>
      <c r="D122">
        <v>2</v>
      </c>
      <c r="E122" t="s">
        <v>213</v>
      </c>
      <c r="F122">
        <v>6</v>
      </c>
      <c r="G122">
        <f t="shared" si="4"/>
        <v>0.33333333333333331</v>
      </c>
      <c r="H122">
        <f>SUMIFS(Home!$E$28:$E$39,Home!$B$28:$B$39,$B122)</f>
        <v>0</v>
      </c>
      <c r="I122">
        <f t="shared" si="5"/>
        <v>0</v>
      </c>
      <c r="J122">
        <f>$G122*Home!$D$5</f>
        <v>0.33333333333333331</v>
      </c>
      <c r="K122">
        <f>INDEX(Pantry!$I$7:$I$68,MATCH($C122,Pantry!$A$7:$A$68,0))</f>
        <v>1</v>
      </c>
      <c r="L122">
        <f t="shared" si="6"/>
        <v>1</v>
      </c>
      <c r="M122">
        <f t="shared" si="7"/>
        <v>0</v>
      </c>
    </row>
    <row r="123" spans="1:13" x14ac:dyDescent="0.35">
      <c r="A123" t="s">
        <v>70</v>
      </c>
      <c r="B123" t="s">
        <v>71</v>
      </c>
      <c r="C123" t="s">
        <v>232</v>
      </c>
      <c r="D123">
        <v>1</v>
      </c>
      <c r="E123" t="s">
        <v>222</v>
      </c>
      <c r="F123">
        <v>6</v>
      </c>
      <c r="G123">
        <f t="shared" si="4"/>
        <v>0.16666666666666666</v>
      </c>
      <c r="H123">
        <f>SUMIFS(Home!$E$28:$E$39,Home!$B$28:$B$39,$B123)</f>
        <v>0</v>
      </c>
      <c r="I123">
        <f t="shared" si="5"/>
        <v>0</v>
      </c>
      <c r="J123">
        <f>$G123*Home!$D$5</f>
        <v>0.16666666666666666</v>
      </c>
      <c r="K123">
        <f>INDEX(Pantry!$I$7:$I$68,MATCH($C123,Pantry!$A$7:$A$68,0))</f>
        <v>15</v>
      </c>
      <c r="L123">
        <f t="shared" si="6"/>
        <v>1</v>
      </c>
      <c r="M123">
        <f t="shared" si="7"/>
        <v>0</v>
      </c>
    </row>
    <row r="124" spans="1:13" x14ac:dyDescent="0.35">
      <c r="A124" t="s">
        <v>70</v>
      </c>
      <c r="B124" t="s">
        <v>71</v>
      </c>
      <c r="C124" t="s">
        <v>221</v>
      </c>
      <c r="D124">
        <v>2</v>
      </c>
      <c r="E124" t="s">
        <v>222</v>
      </c>
      <c r="F124">
        <v>6</v>
      </c>
      <c r="G124">
        <f t="shared" si="4"/>
        <v>0.33333333333333331</v>
      </c>
      <c r="H124">
        <f>SUMIFS(Home!$E$28:$E$39,Home!$B$28:$B$39,$B124)</f>
        <v>0</v>
      </c>
      <c r="I124">
        <f t="shared" si="5"/>
        <v>0</v>
      </c>
      <c r="J124">
        <f>$G124*Home!$D$5</f>
        <v>0.33333333333333331</v>
      </c>
      <c r="K124">
        <f>INDEX(Pantry!$I$7:$I$68,MATCH($C124,Pantry!$A$7:$A$68,0))</f>
        <v>50</v>
      </c>
      <c r="L124">
        <f t="shared" si="6"/>
        <v>1</v>
      </c>
      <c r="M124">
        <f t="shared" si="7"/>
        <v>0</v>
      </c>
    </row>
    <row r="125" spans="1:13" x14ac:dyDescent="0.35">
      <c r="A125" t="s">
        <v>70</v>
      </c>
      <c r="B125" t="s">
        <v>71</v>
      </c>
      <c r="C125" t="s">
        <v>227</v>
      </c>
      <c r="D125">
        <v>2</v>
      </c>
      <c r="E125" t="s">
        <v>222</v>
      </c>
      <c r="F125">
        <v>6</v>
      </c>
      <c r="G125">
        <f t="shared" si="4"/>
        <v>0.33333333333333331</v>
      </c>
      <c r="H125">
        <f>SUMIFS(Home!$E$28:$E$39,Home!$B$28:$B$39,$B125)</f>
        <v>0</v>
      </c>
      <c r="I125">
        <f t="shared" si="5"/>
        <v>0</v>
      </c>
      <c r="J125">
        <f>$G125*Home!$D$5</f>
        <v>0.33333333333333331</v>
      </c>
      <c r="K125">
        <f>INDEX(Pantry!$I$7:$I$68,MATCH($C125,Pantry!$A$7:$A$68,0))</f>
        <v>6</v>
      </c>
      <c r="L125">
        <f t="shared" si="6"/>
        <v>1</v>
      </c>
      <c r="M125">
        <f t="shared" si="7"/>
        <v>0</v>
      </c>
    </row>
    <row r="126" spans="1:13" x14ac:dyDescent="0.35">
      <c r="A126" t="s">
        <v>70</v>
      </c>
      <c r="B126" t="s">
        <v>71</v>
      </c>
      <c r="C126" t="s">
        <v>226</v>
      </c>
      <c r="D126">
        <v>2</v>
      </c>
      <c r="E126" t="s">
        <v>222</v>
      </c>
      <c r="F126">
        <v>6</v>
      </c>
      <c r="G126">
        <f t="shared" si="4"/>
        <v>0.33333333333333331</v>
      </c>
      <c r="H126">
        <f>SUMIFS(Home!$E$28:$E$39,Home!$B$28:$B$39,$B126)</f>
        <v>0</v>
      </c>
      <c r="I126">
        <f t="shared" si="5"/>
        <v>0</v>
      </c>
      <c r="J126">
        <f>$G126*Home!$D$5</f>
        <v>0.33333333333333331</v>
      </c>
      <c r="K126">
        <f>INDEX(Pantry!$I$7:$I$68,MATCH($C126,Pantry!$A$7:$A$68,0))</f>
        <v>8</v>
      </c>
      <c r="L126">
        <f t="shared" si="6"/>
        <v>1</v>
      </c>
      <c r="M126">
        <f t="shared" si="7"/>
        <v>0</v>
      </c>
    </row>
    <row r="127" spans="1:13" x14ac:dyDescent="0.35">
      <c r="A127" t="s">
        <v>70</v>
      </c>
      <c r="B127" t="s">
        <v>71</v>
      </c>
      <c r="C127" t="s">
        <v>249</v>
      </c>
      <c r="D127">
        <v>2</v>
      </c>
      <c r="E127" t="s">
        <v>208</v>
      </c>
      <c r="F127">
        <v>6</v>
      </c>
      <c r="G127">
        <f t="shared" si="4"/>
        <v>0.33333333333333331</v>
      </c>
      <c r="H127">
        <f>SUMIFS(Home!$E$28:$E$39,Home!$B$28:$B$39,$B127)</f>
        <v>0</v>
      </c>
      <c r="I127">
        <f t="shared" si="5"/>
        <v>0</v>
      </c>
      <c r="J127">
        <f>$G127*Home!$D$5</f>
        <v>0.33333333333333331</v>
      </c>
      <c r="K127">
        <f>INDEX(Pantry!$I$7:$I$68,MATCH($C127,Pantry!$A$7:$A$68,0))</f>
        <v>6</v>
      </c>
      <c r="L127">
        <f t="shared" si="6"/>
        <v>1</v>
      </c>
      <c r="M127">
        <f t="shared" si="7"/>
        <v>0</v>
      </c>
    </row>
    <row r="128" spans="1:13" x14ac:dyDescent="0.35">
      <c r="A128" t="s">
        <v>70</v>
      </c>
      <c r="B128" t="s">
        <v>71</v>
      </c>
      <c r="C128" t="s">
        <v>219</v>
      </c>
      <c r="D128">
        <v>4</v>
      </c>
      <c r="E128" t="s">
        <v>208</v>
      </c>
      <c r="F128">
        <v>6</v>
      </c>
      <c r="G128">
        <f t="shared" si="4"/>
        <v>0.66666666666666663</v>
      </c>
      <c r="H128">
        <f>SUMIFS(Home!$E$28:$E$39,Home!$B$28:$B$39,$B128)</f>
        <v>0</v>
      </c>
      <c r="I128">
        <f t="shared" si="5"/>
        <v>0</v>
      </c>
      <c r="J128">
        <f>$G128*Home!$D$5</f>
        <v>0.66666666666666663</v>
      </c>
      <c r="K128">
        <f>INDEX(Pantry!$I$7:$I$68,MATCH($C128,Pantry!$A$7:$A$68,0))</f>
        <v>10</v>
      </c>
      <c r="L128">
        <f t="shared" si="6"/>
        <v>1</v>
      </c>
      <c r="M128">
        <f t="shared" si="7"/>
        <v>0</v>
      </c>
    </row>
    <row r="129" spans="1:13" x14ac:dyDescent="0.35">
      <c r="A129" t="s">
        <v>70</v>
      </c>
      <c r="B129" t="s">
        <v>71</v>
      </c>
      <c r="C129" t="s">
        <v>216</v>
      </c>
      <c r="D129">
        <v>0.5</v>
      </c>
      <c r="E129" t="s">
        <v>217</v>
      </c>
      <c r="F129">
        <v>6</v>
      </c>
      <c r="G129">
        <f t="shared" si="4"/>
        <v>8.3333333333333329E-2</v>
      </c>
      <c r="H129">
        <f>SUMIFS(Home!$E$28:$E$39,Home!$B$28:$B$39,$B129)</f>
        <v>0</v>
      </c>
      <c r="I129">
        <f t="shared" si="5"/>
        <v>0</v>
      </c>
      <c r="J129">
        <f>$G129*Home!$D$5</f>
        <v>8.3333333333333329E-2</v>
      </c>
      <c r="K129">
        <f>INDEX(Pantry!$I$7:$I$68,MATCH($C129,Pantry!$A$7:$A$68,0))</f>
        <v>0</v>
      </c>
      <c r="L129">
        <f t="shared" si="6"/>
        <v>0</v>
      </c>
      <c r="M129">
        <f t="shared" si="7"/>
        <v>8.3333333333333329E-2</v>
      </c>
    </row>
    <row r="130" spans="1:13" x14ac:dyDescent="0.35">
      <c r="A130" t="s">
        <v>70</v>
      </c>
      <c r="B130" t="s">
        <v>71</v>
      </c>
      <c r="C130" t="s">
        <v>218</v>
      </c>
      <c r="D130">
        <v>0.5</v>
      </c>
      <c r="E130" t="s">
        <v>217</v>
      </c>
      <c r="F130">
        <v>6</v>
      </c>
      <c r="G130">
        <f t="shared" si="4"/>
        <v>8.3333333333333329E-2</v>
      </c>
      <c r="H130">
        <f>SUMIFS(Home!$E$28:$E$39,Home!$B$28:$B$39,$B130)</f>
        <v>0</v>
      </c>
      <c r="I130">
        <f t="shared" si="5"/>
        <v>0</v>
      </c>
      <c r="J130">
        <f>$G130*Home!$D$5</f>
        <v>8.3333333333333329E-2</v>
      </c>
      <c r="K130">
        <f>INDEX(Pantry!$I$7:$I$68,MATCH($C130,Pantry!$A$7:$A$68,0))</f>
        <v>2</v>
      </c>
      <c r="L130">
        <f t="shared" si="6"/>
        <v>1</v>
      </c>
      <c r="M130">
        <f t="shared" si="7"/>
        <v>0</v>
      </c>
    </row>
    <row r="131" spans="1:13" x14ac:dyDescent="0.35">
      <c r="A131" t="s">
        <v>70</v>
      </c>
      <c r="B131" t="s">
        <v>71</v>
      </c>
      <c r="C131" t="s">
        <v>215</v>
      </c>
      <c r="D131">
        <v>0.5</v>
      </c>
      <c r="E131" t="s">
        <v>211</v>
      </c>
      <c r="F131">
        <v>6</v>
      </c>
      <c r="G131">
        <f t="shared" ref="G131:G194" si="8">$D131/$F131</f>
        <v>8.3333333333333329E-2</v>
      </c>
      <c r="H131">
        <f>SUMIFS(Home!$E$28:$E$39,Home!$B$28:$B$39,$B131)</f>
        <v>0</v>
      </c>
      <c r="I131">
        <f t="shared" ref="I131:I194" si="9">$G131*$H131</f>
        <v>0</v>
      </c>
      <c r="J131">
        <f>$G131*Home!$D$5</f>
        <v>8.3333333333333329E-2</v>
      </c>
      <c r="K131">
        <f>INDEX(Pantry!$I$7:$I$68,MATCH($C131,Pantry!$A$7:$A$68,0))</f>
        <v>5</v>
      </c>
      <c r="L131">
        <f t="shared" ref="L131:L194" si="10">IF($K131&gt;=$J131-0.0001,1,0)</f>
        <v>1</v>
      </c>
      <c r="M131">
        <f t="shared" ref="M131:M194" si="11">MAX(0,$J131-$K131)</f>
        <v>0</v>
      </c>
    </row>
    <row r="132" spans="1:13" x14ac:dyDescent="0.35">
      <c r="A132" t="s">
        <v>70</v>
      </c>
      <c r="B132" t="s">
        <v>71</v>
      </c>
      <c r="C132" t="s">
        <v>231</v>
      </c>
      <c r="D132">
        <v>2</v>
      </c>
      <c r="E132" t="s">
        <v>222</v>
      </c>
      <c r="F132">
        <v>6</v>
      </c>
      <c r="G132">
        <f t="shared" si="8"/>
        <v>0.33333333333333331</v>
      </c>
      <c r="H132">
        <f>SUMIFS(Home!$E$28:$E$39,Home!$B$28:$B$39,$B132)</f>
        <v>0</v>
      </c>
      <c r="I132">
        <f t="shared" si="9"/>
        <v>0</v>
      </c>
      <c r="J132">
        <f>$G132*Home!$D$5</f>
        <v>0.33333333333333331</v>
      </c>
      <c r="K132">
        <f>INDEX(Pantry!$I$7:$I$68,MATCH($C132,Pantry!$A$7:$A$68,0))</f>
        <v>20</v>
      </c>
      <c r="L132">
        <f t="shared" si="10"/>
        <v>1</v>
      </c>
      <c r="M132">
        <f t="shared" si="11"/>
        <v>0</v>
      </c>
    </row>
    <row r="133" spans="1:13" x14ac:dyDescent="0.35">
      <c r="A133" t="s">
        <v>74</v>
      </c>
      <c r="B133" t="s">
        <v>75</v>
      </c>
      <c r="C133" t="s">
        <v>204</v>
      </c>
      <c r="D133">
        <v>0.5</v>
      </c>
      <c r="E133" t="s">
        <v>205</v>
      </c>
      <c r="F133">
        <v>4</v>
      </c>
      <c r="G133">
        <f t="shared" si="8"/>
        <v>0.125</v>
      </c>
      <c r="H133">
        <f>SUMIFS(Home!$E$28:$E$39,Home!$B$28:$B$39,$B133)</f>
        <v>0</v>
      </c>
      <c r="I133">
        <f t="shared" si="9"/>
        <v>0</v>
      </c>
      <c r="J133">
        <f>$G133*Home!$D$5</f>
        <v>0.125</v>
      </c>
      <c r="K133">
        <f>INDEX(Pantry!$I$7:$I$68,MATCH($C133,Pantry!$A$7:$A$68,0))</f>
        <v>1</v>
      </c>
      <c r="L133">
        <f t="shared" si="10"/>
        <v>1</v>
      </c>
      <c r="M133">
        <f t="shared" si="11"/>
        <v>0</v>
      </c>
    </row>
    <row r="134" spans="1:13" x14ac:dyDescent="0.35">
      <c r="A134" t="s">
        <v>74</v>
      </c>
      <c r="B134" t="s">
        <v>75</v>
      </c>
      <c r="C134" t="s">
        <v>249</v>
      </c>
      <c r="D134">
        <v>1</v>
      </c>
      <c r="E134" t="s">
        <v>208</v>
      </c>
      <c r="F134">
        <v>4</v>
      </c>
      <c r="G134">
        <f t="shared" si="8"/>
        <v>0.25</v>
      </c>
      <c r="H134">
        <f>SUMIFS(Home!$E$28:$E$39,Home!$B$28:$B$39,$B134)</f>
        <v>0</v>
      </c>
      <c r="I134">
        <f t="shared" si="9"/>
        <v>0</v>
      </c>
      <c r="J134">
        <f>$G134*Home!$D$5</f>
        <v>0.25</v>
      </c>
      <c r="K134">
        <f>INDEX(Pantry!$I$7:$I$68,MATCH($C134,Pantry!$A$7:$A$68,0))</f>
        <v>6</v>
      </c>
      <c r="L134">
        <f t="shared" si="10"/>
        <v>1</v>
      </c>
      <c r="M134">
        <f t="shared" si="11"/>
        <v>0</v>
      </c>
    </row>
    <row r="135" spans="1:13" x14ac:dyDescent="0.35">
      <c r="A135" t="s">
        <v>74</v>
      </c>
      <c r="B135" t="s">
        <v>75</v>
      </c>
      <c r="C135" t="s">
        <v>250</v>
      </c>
      <c r="D135">
        <v>4</v>
      </c>
      <c r="E135" t="s">
        <v>213</v>
      </c>
      <c r="F135">
        <v>4</v>
      </c>
      <c r="G135">
        <f t="shared" si="8"/>
        <v>1</v>
      </c>
      <c r="H135">
        <f>SUMIFS(Home!$E$28:$E$39,Home!$B$28:$B$39,$B135)</f>
        <v>0</v>
      </c>
      <c r="I135">
        <f t="shared" si="9"/>
        <v>0</v>
      </c>
      <c r="J135">
        <f>$G135*Home!$D$5</f>
        <v>1</v>
      </c>
      <c r="K135">
        <f>INDEX(Pantry!$I$7:$I$68,MATCH($C135,Pantry!$A$7:$A$68,0))</f>
        <v>4</v>
      </c>
      <c r="L135">
        <f t="shared" si="10"/>
        <v>1</v>
      </c>
      <c r="M135">
        <f t="shared" si="11"/>
        <v>0</v>
      </c>
    </row>
    <row r="136" spans="1:13" x14ac:dyDescent="0.35">
      <c r="A136" t="s">
        <v>74</v>
      </c>
      <c r="B136" t="s">
        <v>75</v>
      </c>
      <c r="C136" t="s">
        <v>251</v>
      </c>
      <c r="D136">
        <v>6</v>
      </c>
      <c r="E136" t="s">
        <v>213</v>
      </c>
      <c r="F136">
        <v>4</v>
      </c>
      <c r="G136">
        <f t="shared" si="8"/>
        <v>1.5</v>
      </c>
      <c r="H136">
        <f>SUMIFS(Home!$E$28:$E$39,Home!$B$28:$B$39,$B136)</f>
        <v>0</v>
      </c>
      <c r="I136">
        <f t="shared" si="9"/>
        <v>0</v>
      </c>
      <c r="J136">
        <f>$G136*Home!$D$5</f>
        <v>1.5</v>
      </c>
      <c r="K136">
        <f>INDEX(Pantry!$I$7:$I$68,MATCH($C136,Pantry!$A$7:$A$68,0))</f>
        <v>8</v>
      </c>
      <c r="L136">
        <f t="shared" si="10"/>
        <v>1</v>
      </c>
      <c r="M136">
        <f t="shared" si="11"/>
        <v>0</v>
      </c>
    </row>
    <row r="137" spans="1:13" x14ac:dyDescent="0.35">
      <c r="A137" t="s">
        <v>74</v>
      </c>
      <c r="B137" t="s">
        <v>75</v>
      </c>
      <c r="C137" t="s">
        <v>252</v>
      </c>
      <c r="D137">
        <v>4</v>
      </c>
      <c r="E137" t="s">
        <v>213</v>
      </c>
      <c r="F137">
        <v>4</v>
      </c>
      <c r="G137">
        <f t="shared" si="8"/>
        <v>1</v>
      </c>
      <c r="H137">
        <f>SUMIFS(Home!$E$28:$E$39,Home!$B$28:$B$39,$B137)</f>
        <v>0</v>
      </c>
      <c r="I137">
        <f t="shared" si="9"/>
        <v>0</v>
      </c>
      <c r="J137">
        <f>$G137*Home!$D$5</f>
        <v>1</v>
      </c>
      <c r="K137">
        <f>INDEX(Pantry!$I$7:$I$68,MATCH($C137,Pantry!$A$7:$A$68,0))</f>
        <v>2</v>
      </c>
      <c r="L137">
        <f t="shared" si="10"/>
        <v>1</v>
      </c>
      <c r="M137">
        <f t="shared" si="11"/>
        <v>0</v>
      </c>
    </row>
    <row r="138" spans="1:13" x14ac:dyDescent="0.35">
      <c r="A138" t="s">
        <v>74</v>
      </c>
      <c r="B138" t="s">
        <v>75</v>
      </c>
      <c r="C138" t="s">
        <v>253</v>
      </c>
      <c r="D138">
        <v>2</v>
      </c>
      <c r="E138" t="s">
        <v>213</v>
      </c>
      <c r="F138">
        <v>4</v>
      </c>
      <c r="G138">
        <f t="shared" si="8"/>
        <v>0.5</v>
      </c>
      <c r="H138">
        <f>SUMIFS(Home!$E$28:$E$39,Home!$B$28:$B$39,$B138)</f>
        <v>0</v>
      </c>
      <c r="I138">
        <f t="shared" si="9"/>
        <v>0</v>
      </c>
      <c r="J138">
        <f>$G138*Home!$D$5</f>
        <v>0.5</v>
      </c>
      <c r="K138">
        <f>INDEX(Pantry!$I$7:$I$68,MATCH($C138,Pantry!$A$7:$A$68,0))</f>
        <v>6</v>
      </c>
      <c r="L138">
        <f t="shared" si="10"/>
        <v>1</v>
      </c>
      <c r="M138">
        <f t="shared" si="11"/>
        <v>0</v>
      </c>
    </row>
    <row r="139" spans="1:13" x14ac:dyDescent="0.35">
      <c r="A139" t="s">
        <v>74</v>
      </c>
      <c r="B139" t="s">
        <v>75</v>
      </c>
      <c r="C139" t="s">
        <v>254</v>
      </c>
      <c r="D139">
        <v>2</v>
      </c>
      <c r="E139" t="s">
        <v>213</v>
      </c>
      <c r="F139">
        <v>4</v>
      </c>
      <c r="G139">
        <f t="shared" si="8"/>
        <v>0.5</v>
      </c>
      <c r="H139">
        <f>SUMIFS(Home!$E$28:$E$39,Home!$B$28:$B$39,$B139)</f>
        <v>0</v>
      </c>
      <c r="I139">
        <f t="shared" si="9"/>
        <v>0</v>
      </c>
      <c r="J139">
        <f>$G139*Home!$D$5</f>
        <v>0.5</v>
      </c>
      <c r="K139">
        <f>INDEX(Pantry!$I$7:$I$68,MATCH($C139,Pantry!$A$7:$A$68,0))</f>
        <v>5</v>
      </c>
      <c r="L139">
        <f t="shared" si="10"/>
        <v>1</v>
      </c>
      <c r="M139">
        <f t="shared" si="11"/>
        <v>0</v>
      </c>
    </row>
    <row r="140" spans="1:13" x14ac:dyDescent="0.35">
      <c r="A140" t="s">
        <v>74</v>
      </c>
      <c r="B140" t="s">
        <v>75</v>
      </c>
      <c r="C140" t="s">
        <v>255</v>
      </c>
      <c r="D140">
        <v>2</v>
      </c>
      <c r="E140" t="s">
        <v>222</v>
      </c>
      <c r="F140">
        <v>4</v>
      </c>
      <c r="G140">
        <f t="shared" si="8"/>
        <v>0.5</v>
      </c>
      <c r="H140">
        <f>SUMIFS(Home!$E$28:$E$39,Home!$B$28:$B$39,$B140)</f>
        <v>0</v>
      </c>
      <c r="I140">
        <f t="shared" si="9"/>
        <v>0</v>
      </c>
      <c r="J140">
        <f>$G140*Home!$D$5</f>
        <v>0.5</v>
      </c>
      <c r="K140">
        <f>INDEX(Pantry!$I$7:$I$68,MATCH($C140,Pantry!$A$7:$A$68,0))</f>
        <v>30</v>
      </c>
      <c r="L140">
        <f t="shared" si="10"/>
        <v>1</v>
      </c>
      <c r="M140">
        <f t="shared" si="11"/>
        <v>0</v>
      </c>
    </row>
    <row r="141" spans="1:13" x14ac:dyDescent="0.35">
      <c r="A141" t="s">
        <v>74</v>
      </c>
      <c r="B141" t="s">
        <v>75</v>
      </c>
      <c r="C141" t="s">
        <v>237</v>
      </c>
      <c r="D141">
        <v>1</v>
      </c>
      <c r="E141" t="s">
        <v>222</v>
      </c>
      <c r="F141">
        <v>4</v>
      </c>
      <c r="G141">
        <f t="shared" si="8"/>
        <v>0.25</v>
      </c>
      <c r="H141">
        <f>SUMIFS(Home!$E$28:$E$39,Home!$B$28:$B$39,$B141)</f>
        <v>0</v>
      </c>
      <c r="I141">
        <f t="shared" si="9"/>
        <v>0</v>
      </c>
      <c r="J141">
        <f>$G141*Home!$D$5</f>
        <v>0.25</v>
      </c>
      <c r="K141">
        <f>INDEX(Pantry!$I$7:$I$68,MATCH($C141,Pantry!$A$7:$A$68,0))</f>
        <v>5</v>
      </c>
      <c r="L141">
        <f t="shared" si="10"/>
        <v>1</v>
      </c>
      <c r="M141">
        <f t="shared" si="11"/>
        <v>0</v>
      </c>
    </row>
    <row r="142" spans="1:13" x14ac:dyDescent="0.35">
      <c r="A142" t="s">
        <v>74</v>
      </c>
      <c r="B142" t="s">
        <v>75</v>
      </c>
      <c r="C142" t="s">
        <v>256</v>
      </c>
      <c r="D142">
        <v>1</v>
      </c>
      <c r="E142" t="s">
        <v>208</v>
      </c>
      <c r="F142">
        <v>4</v>
      </c>
      <c r="G142">
        <f t="shared" si="8"/>
        <v>0.25</v>
      </c>
      <c r="H142">
        <f>SUMIFS(Home!$E$28:$E$39,Home!$B$28:$B$39,$B142)</f>
        <v>0</v>
      </c>
      <c r="I142">
        <f t="shared" si="9"/>
        <v>0</v>
      </c>
      <c r="J142">
        <f>$G142*Home!$D$5</f>
        <v>0.25</v>
      </c>
      <c r="K142">
        <f>INDEX(Pantry!$I$7:$I$68,MATCH($C142,Pantry!$A$7:$A$68,0))</f>
        <v>2</v>
      </c>
      <c r="L142">
        <f t="shared" si="10"/>
        <v>1</v>
      </c>
      <c r="M142">
        <f t="shared" si="11"/>
        <v>0</v>
      </c>
    </row>
    <row r="143" spans="1:13" x14ac:dyDescent="0.35">
      <c r="A143" t="s">
        <v>74</v>
      </c>
      <c r="B143" t="s">
        <v>75</v>
      </c>
      <c r="C143" t="s">
        <v>257</v>
      </c>
      <c r="D143">
        <v>2</v>
      </c>
      <c r="E143" t="s">
        <v>208</v>
      </c>
      <c r="F143">
        <v>4</v>
      </c>
      <c r="G143">
        <f t="shared" si="8"/>
        <v>0.5</v>
      </c>
      <c r="H143">
        <f>SUMIFS(Home!$E$28:$E$39,Home!$B$28:$B$39,$B143)</f>
        <v>0</v>
      </c>
      <c r="I143">
        <f t="shared" si="9"/>
        <v>0</v>
      </c>
      <c r="J143">
        <f>$G143*Home!$D$5</f>
        <v>0.5</v>
      </c>
      <c r="K143">
        <f>INDEX(Pantry!$I$7:$I$68,MATCH($C143,Pantry!$A$7:$A$68,0))</f>
        <v>0</v>
      </c>
      <c r="L143">
        <f t="shared" si="10"/>
        <v>0</v>
      </c>
      <c r="M143">
        <f t="shared" si="11"/>
        <v>0.5</v>
      </c>
    </row>
    <row r="144" spans="1:13" x14ac:dyDescent="0.35">
      <c r="A144" t="s">
        <v>74</v>
      </c>
      <c r="B144" t="s">
        <v>75</v>
      </c>
      <c r="C144" t="s">
        <v>215</v>
      </c>
      <c r="D144">
        <v>1</v>
      </c>
      <c r="E144" t="s">
        <v>211</v>
      </c>
      <c r="F144">
        <v>4</v>
      </c>
      <c r="G144">
        <f t="shared" si="8"/>
        <v>0.25</v>
      </c>
      <c r="H144">
        <f>SUMIFS(Home!$E$28:$E$39,Home!$B$28:$B$39,$B144)</f>
        <v>0</v>
      </c>
      <c r="I144">
        <f t="shared" si="9"/>
        <v>0</v>
      </c>
      <c r="J144">
        <f>$G144*Home!$D$5</f>
        <v>0.25</v>
      </c>
      <c r="K144">
        <f>INDEX(Pantry!$I$7:$I$68,MATCH($C144,Pantry!$A$7:$A$68,0))</f>
        <v>5</v>
      </c>
      <c r="L144">
        <f t="shared" si="10"/>
        <v>1</v>
      </c>
      <c r="M144">
        <f t="shared" si="11"/>
        <v>0</v>
      </c>
    </row>
    <row r="145" spans="1:13" x14ac:dyDescent="0.35">
      <c r="A145" t="s">
        <v>74</v>
      </c>
      <c r="B145" t="s">
        <v>75</v>
      </c>
      <c r="C145" t="s">
        <v>221</v>
      </c>
      <c r="D145">
        <v>1</v>
      </c>
      <c r="E145" t="s">
        <v>222</v>
      </c>
      <c r="F145">
        <v>4</v>
      </c>
      <c r="G145">
        <f t="shared" si="8"/>
        <v>0.25</v>
      </c>
      <c r="H145">
        <f>SUMIFS(Home!$E$28:$E$39,Home!$B$28:$B$39,$B145)</f>
        <v>0</v>
      </c>
      <c r="I145">
        <f t="shared" si="9"/>
        <v>0</v>
      </c>
      <c r="J145">
        <f>$G145*Home!$D$5</f>
        <v>0.25</v>
      </c>
      <c r="K145">
        <f>INDEX(Pantry!$I$7:$I$68,MATCH($C145,Pantry!$A$7:$A$68,0))</f>
        <v>50</v>
      </c>
      <c r="L145">
        <f t="shared" si="10"/>
        <v>1</v>
      </c>
      <c r="M145">
        <f t="shared" si="11"/>
        <v>0</v>
      </c>
    </row>
    <row r="146" spans="1:13" x14ac:dyDescent="0.35">
      <c r="A146" t="s">
        <v>74</v>
      </c>
      <c r="B146" t="s">
        <v>75</v>
      </c>
      <c r="C146" t="s">
        <v>212</v>
      </c>
      <c r="D146">
        <v>1</v>
      </c>
      <c r="E146" t="s">
        <v>213</v>
      </c>
      <c r="F146">
        <v>4</v>
      </c>
      <c r="G146">
        <f t="shared" si="8"/>
        <v>0.25</v>
      </c>
      <c r="H146">
        <f>SUMIFS(Home!$E$28:$E$39,Home!$B$28:$B$39,$B146)</f>
        <v>0</v>
      </c>
      <c r="I146">
        <f t="shared" si="9"/>
        <v>0</v>
      </c>
      <c r="J146">
        <f>$G146*Home!$D$5</f>
        <v>0.25</v>
      </c>
      <c r="K146">
        <f>INDEX(Pantry!$I$7:$I$68,MATCH($C146,Pantry!$A$7:$A$68,0))</f>
        <v>1</v>
      </c>
      <c r="L146">
        <f t="shared" si="10"/>
        <v>1</v>
      </c>
      <c r="M146">
        <f t="shared" si="11"/>
        <v>0</v>
      </c>
    </row>
    <row r="147" spans="1:13" x14ac:dyDescent="0.35">
      <c r="A147" t="s">
        <v>78</v>
      </c>
      <c r="B147" t="s">
        <v>79</v>
      </c>
      <c r="C147" t="s">
        <v>206</v>
      </c>
      <c r="D147">
        <v>0.5</v>
      </c>
      <c r="E147" t="s">
        <v>205</v>
      </c>
      <c r="F147">
        <v>4</v>
      </c>
      <c r="G147">
        <f t="shared" si="8"/>
        <v>0.125</v>
      </c>
      <c r="H147">
        <f>SUMIFS(Home!$E$28:$E$39,Home!$B$28:$B$39,$B147)</f>
        <v>0</v>
      </c>
      <c r="I147">
        <f t="shared" si="9"/>
        <v>0</v>
      </c>
      <c r="J147">
        <f>$G147*Home!$D$5</f>
        <v>0.125</v>
      </c>
      <c r="K147">
        <f>INDEX(Pantry!$I$7:$I$68,MATCH($C147,Pantry!$A$7:$A$68,0))</f>
        <v>3</v>
      </c>
      <c r="L147">
        <f t="shared" si="10"/>
        <v>1</v>
      </c>
      <c r="M147">
        <f t="shared" si="11"/>
        <v>0</v>
      </c>
    </row>
    <row r="148" spans="1:13" x14ac:dyDescent="0.35">
      <c r="A148" t="s">
        <v>78</v>
      </c>
      <c r="B148" t="s">
        <v>79</v>
      </c>
      <c r="C148" t="s">
        <v>249</v>
      </c>
      <c r="D148">
        <v>2</v>
      </c>
      <c r="E148" t="s">
        <v>208</v>
      </c>
      <c r="F148">
        <v>4</v>
      </c>
      <c r="G148">
        <f t="shared" si="8"/>
        <v>0.5</v>
      </c>
      <c r="H148">
        <f>SUMIFS(Home!$E$28:$E$39,Home!$B$28:$B$39,$B148)</f>
        <v>0</v>
      </c>
      <c r="I148">
        <f t="shared" si="9"/>
        <v>0</v>
      </c>
      <c r="J148">
        <f>$G148*Home!$D$5</f>
        <v>0.5</v>
      </c>
      <c r="K148">
        <f>INDEX(Pantry!$I$7:$I$68,MATCH($C148,Pantry!$A$7:$A$68,0))</f>
        <v>6</v>
      </c>
      <c r="L148">
        <f t="shared" si="10"/>
        <v>1</v>
      </c>
      <c r="M148">
        <f t="shared" si="11"/>
        <v>0</v>
      </c>
    </row>
    <row r="149" spans="1:13" x14ac:dyDescent="0.35">
      <c r="A149" t="s">
        <v>78</v>
      </c>
      <c r="B149" t="s">
        <v>79</v>
      </c>
      <c r="C149" t="s">
        <v>258</v>
      </c>
      <c r="D149">
        <v>1</v>
      </c>
      <c r="E149" t="s">
        <v>208</v>
      </c>
      <c r="F149">
        <v>4</v>
      </c>
      <c r="G149">
        <f t="shared" si="8"/>
        <v>0.25</v>
      </c>
      <c r="H149">
        <f>SUMIFS(Home!$E$28:$E$39,Home!$B$28:$B$39,$B149)</f>
        <v>0</v>
      </c>
      <c r="I149">
        <f t="shared" si="9"/>
        <v>0</v>
      </c>
      <c r="J149">
        <f>$G149*Home!$D$5</f>
        <v>0.25</v>
      </c>
      <c r="K149">
        <f>INDEX(Pantry!$I$7:$I$68,MATCH($C149,Pantry!$A$7:$A$68,0))</f>
        <v>3</v>
      </c>
      <c r="L149">
        <f t="shared" si="10"/>
        <v>1</v>
      </c>
      <c r="M149">
        <f t="shared" si="11"/>
        <v>0</v>
      </c>
    </row>
    <row r="150" spans="1:13" x14ac:dyDescent="0.35">
      <c r="A150" t="s">
        <v>78</v>
      </c>
      <c r="B150" t="s">
        <v>79</v>
      </c>
      <c r="C150" t="s">
        <v>259</v>
      </c>
      <c r="D150">
        <v>200</v>
      </c>
      <c r="E150" t="s">
        <v>230</v>
      </c>
      <c r="F150">
        <v>4</v>
      </c>
      <c r="G150">
        <f t="shared" si="8"/>
        <v>50</v>
      </c>
      <c r="H150">
        <f>SUMIFS(Home!$E$28:$E$39,Home!$B$28:$B$39,$B150)</f>
        <v>0</v>
      </c>
      <c r="I150">
        <f t="shared" si="9"/>
        <v>0</v>
      </c>
      <c r="J150">
        <f>$G150*Home!$D$5</f>
        <v>50</v>
      </c>
      <c r="K150">
        <f>INDEX(Pantry!$I$7:$I$68,MATCH($C150,Pantry!$A$7:$A$68,0))</f>
        <v>0</v>
      </c>
      <c r="L150">
        <f t="shared" si="10"/>
        <v>0</v>
      </c>
      <c r="M150">
        <f t="shared" si="11"/>
        <v>50</v>
      </c>
    </row>
    <row r="151" spans="1:13" x14ac:dyDescent="0.35">
      <c r="A151" t="s">
        <v>78</v>
      </c>
      <c r="B151" t="s">
        <v>79</v>
      </c>
      <c r="C151" t="s">
        <v>257</v>
      </c>
      <c r="D151">
        <v>3</v>
      </c>
      <c r="E151" t="s">
        <v>208</v>
      </c>
      <c r="F151">
        <v>4</v>
      </c>
      <c r="G151">
        <f t="shared" si="8"/>
        <v>0.75</v>
      </c>
      <c r="H151">
        <f>SUMIFS(Home!$E$28:$E$39,Home!$B$28:$B$39,$B151)</f>
        <v>0</v>
      </c>
      <c r="I151">
        <f t="shared" si="9"/>
        <v>0</v>
      </c>
      <c r="J151">
        <f>$G151*Home!$D$5</f>
        <v>0.75</v>
      </c>
      <c r="K151">
        <f>INDEX(Pantry!$I$7:$I$68,MATCH($C151,Pantry!$A$7:$A$68,0))</f>
        <v>0</v>
      </c>
      <c r="L151">
        <f t="shared" si="10"/>
        <v>0</v>
      </c>
      <c r="M151">
        <f t="shared" si="11"/>
        <v>0.75</v>
      </c>
    </row>
    <row r="152" spans="1:13" x14ac:dyDescent="0.35">
      <c r="A152" t="s">
        <v>78</v>
      </c>
      <c r="B152" t="s">
        <v>79</v>
      </c>
      <c r="C152" t="s">
        <v>253</v>
      </c>
      <c r="D152">
        <v>2</v>
      </c>
      <c r="E152" t="s">
        <v>213</v>
      </c>
      <c r="F152">
        <v>4</v>
      </c>
      <c r="G152">
        <f t="shared" si="8"/>
        <v>0.5</v>
      </c>
      <c r="H152">
        <f>SUMIFS(Home!$E$28:$E$39,Home!$B$28:$B$39,$B152)</f>
        <v>0</v>
      </c>
      <c r="I152">
        <f t="shared" si="9"/>
        <v>0</v>
      </c>
      <c r="J152">
        <f>$G152*Home!$D$5</f>
        <v>0.5</v>
      </c>
      <c r="K152">
        <f>INDEX(Pantry!$I$7:$I$68,MATCH($C152,Pantry!$A$7:$A$68,0))</f>
        <v>6</v>
      </c>
      <c r="L152">
        <f t="shared" si="10"/>
        <v>1</v>
      </c>
      <c r="M152">
        <f t="shared" si="11"/>
        <v>0</v>
      </c>
    </row>
    <row r="153" spans="1:13" x14ac:dyDescent="0.35">
      <c r="A153" t="s">
        <v>78</v>
      </c>
      <c r="B153" t="s">
        <v>79</v>
      </c>
      <c r="C153" t="s">
        <v>254</v>
      </c>
      <c r="D153">
        <v>1</v>
      </c>
      <c r="E153" t="s">
        <v>213</v>
      </c>
      <c r="F153">
        <v>4</v>
      </c>
      <c r="G153">
        <f t="shared" si="8"/>
        <v>0.25</v>
      </c>
      <c r="H153">
        <f>SUMIFS(Home!$E$28:$E$39,Home!$B$28:$B$39,$B153)</f>
        <v>0</v>
      </c>
      <c r="I153">
        <f t="shared" si="9"/>
        <v>0</v>
      </c>
      <c r="J153">
        <f>$G153*Home!$D$5</f>
        <v>0.25</v>
      </c>
      <c r="K153">
        <f>INDEX(Pantry!$I$7:$I$68,MATCH($C153,Pantry!$A$7:$A$68,0))</f>
        <v>5</v>
      </c>
      <c r="L153">
        <f t="shared" si="10"/>
        <v>1</v>
      </c>
      <c r="M153">
        <f t="shared" si="11"/>
        <v>0</v>
      </c>
    </row>
    <row r="154" spans="1:13" x14ac:dyDescent="0.35">
      <c r="A154" t="s">
        <v>78</v>
      </c>
      <c r="B154" t="s">
        <v>79</v>
      </c>
      <c r="C154" t="s">
        <v>237</v>
      </c>
      <c r="D154">
        <v>1</v>
      </c>
      <c r="E154" t="s">
        <v>222</v>
      </c>
      <c r="F154">
        <v>4</v>
      </c>
      <c r="G154">
        <f t="shared" si="8"/>
        <v>0.25</v>
      </c>
      <c r="H154">
        <f>SUMIFS(Home!$E$28:$E$39,Home!$B$28:$B$39,$B154)</f>
        <v>0</v>
      </c>
      <c r="I154">
        <f t="shared" si="9"/>
        <v>0</v>
      </c>
      <c r="J154">
        <f>$G154*Home!$D$5</f>
        <v>0.25</v>
      </c>
      <c r="K154">
        <f>INDEX(Pantry!$I$7:$I$68,MATCH($C154,Pantry!$A$7:$A$68,0))</f>
        <v>5</v>
      </c>
      <c r="L154">
        <f t="shared" si="10"/>
        <v>1</v>
      </c>
      <c r="M154">
        <f t="shared" si="11"/>
        <v>0</v>
      </c>
    </row>
    <row r="155" spans="1:13" x14ac:dyDescent="0.35">
      <c r="A155" t="s">
        <v>78</v>
      </c>
      <c r="B155" t="s">
        <v>79</v>
      </c>
      <c r="C155" t="s">
        <v>221</v>
      </c>
      <c r="D155">
        <v>1</v>
      </c>
      <c r="E155" t="s">
        <v>222</v>
      </c>
      <c r="F155">
        <v>4</v>
      </c>
      <c r="G155">
        <f t="shared" si="8"/>
        <v>0.25</v>
      </c>
      <c r="H155">
        <f>SUMIFS(Home!$E$28:$E$39,Home!$B$28:$B$39,$B155)</f>
        <v>0</v>
      </c>
      <c r="I155">
        <f t="shared" si="9"/>
        <v>0</v>
      </c>
      <c r="J155">
        <f>$G155*Home!$D$5</f>
        <v>0.25</v>
      </c>
      <c r="K155">
        <f>INDEX(Pantry!$I$7:$I$68,MATCH($C155,Pantry!$A$7:$A$68,0))</f>
        <v>50</v>
      </c>
      <c r="L155">
        <f t="shared" si="10"/>
        <v>1</v>
      </c>
      <c r="M155">
        <f t="shared" si="11"/>
        <v>0</v>
      </c>
    </row>
    <row r="156" spans="1:13" x14ac:dyDescent="0.35">
      <c r="A156" t="s">
        <v>78</v>
      </c>
      <c r="B156" t="s">
        <v>79</v>
      </c>
      <c r="C156" t="s">
        <v>215</v>
      </c>
      <c r="D156">
        <v>0.5</v>
      </c>
      <c r="E156" t="s">
        <v>211</v>
      </c>
      <c r="F156">
        <v>4</v>
      </c>
      <c r="G156">
        <f t="shared" si="8"/>
        <v>0.125</v>
      </c>
      <c r="H156">
        <f>SUMIFS(Home!$E$28:$E$39,Home!$B$28:$B$39,$B156)</f>
        <v>0</v>
      </c>
      <c r="I156">
        <f t="shared" si="9"/>
        <v>0</v>
      </c>
      <c r="J156">
        <f>$G156*Home!$D$5</f>
        <v>0.125</v>
      </c>
      <c r="K156">
        <f>INDEX(Pantry!$I$7:$I$68,MATCH($C156,Pantry!$A$7:$A$68,0))</f>
        <v>5</v>
      </c>
      <c r="L156">
        <f t="shared" si="10"/>
        <v>1</v>
      </c>
      <c r="M156">
        <f t="shared" si="11"/>
        <v>0</v>
      </c>
    </row>
    <row r="157" spans="1:13" x14ac:dyDescent="0.35">
      <c r="A157" t="s">
        <v>78</v>
      </c>
      <c r="B157" t="s">
        <v>79</v>
      </c>
      <c r="C157" t="s">
        <v>256</v>
      </c>
      <c r="D157">
        <v>1</v>
      </c>
      <c r="E157" t="s">
        <v>208</v>
      </c>
      <c r="F157">
        <v>4</v>
      </c>
      <c r="G157">
        <f t="shared" si="8"/>
        <v>0.25</v>
      </c>
      <c r="H157">
        <f>SUMIFS(Home!$E$28:$E$39,Home!$B$28:$B$39,$B157)</f>
        <v>0</v>
      </c>
      <c r="I157">
        <f t="shared" si="9"/>
        <v>0</v>
      </c>
      <c r="J157">
        <f>$G157*Home!$D$5</f>
        <v>0.25</v>
      </c>
      <c r="K157">
        <f>INDEX(Pantry!$I$7:$I$68,MATCH($C157,Pantry!$A$7:$A$68,0))</f>
        <v>2</v>
      </c>
      <c r="L157">
        <f t="shared" si="10"/>
        <v>1</v>
      </c>
      <c r="M157">
        <f t="shared" si="11"/>
        <v>0</v>
      </c>
    </row>
    <row r="158" spans="1:13" x14ac:dyDescent="0.35">
      <c r="A158" t="s">
        <v>82</v>
      </c>
      <c r="B158" t="s">
        <v>83</v>
      </c>
      <c r="C158" t="s">
        <v>260</v>
      </c>
      <c r="D158">
        <v>250</v>
      </c>
      <c r="E158" t="s">
        <v>230</v>
      </c>
      <c r="F158">
        <v>4</v>
      </c>
      <c r="G158">
        <f t="shared" si="8"/>
        <v>62.5</v>
      </c>
      <c r="H158">
        <f>SUMIFS(Home!$E$28:$E$39,Home!$B$28:$B$39,$B158)</f>
        <v>0</v>
      </c>
      <c r="I158">
        <f t="shared" si="9"/>
        <v>0</v>
      </c>
      <c r="J158">
        <f>$G158*Home!$D$5</f>
        <v>62.5</v>
      </c>
      <c r="K158">
        <f>INDEX(Pantry!$I$7:$I$68,MATCH($C158,Pantry!$A$7:$A$68,0))</f>
        <v>0</v>
      </c>
      <c r="L158">
        <f t="shared" si="10"/>
        <v>0</v>
      </c>
      <c r="M158">
        <f t="shared" si="11"/>
        <v>62.5</v>
      </c>
    </row>
    <row r="159" spans="1:13" x14ac:dyDescent="0.35">
      <c r="A159" t="s">
        <v>82</v>
      </c>
      <c r="B159" t="s">
        <v>83</v>
      </c>
      <c r="C159" t="s">
        <v>204</v>
      </c>
      <c r="D159">
        <v>0.25</v>
      </c>
      <c r="E159" t="s">
        <v>205</v>
      </c>
      <c r="F159">
        <v>4</v>
      </c>
      <c r="G159">
        <f t="shared" si="8"/>
        <v>6.25E-2</v>
      </c>
      <c r="H159">
        <f>SUMIFS(Home!$E$28:$E$39,Home!$B$28:$B$39,$B159)</f>
        <v>0</v>
      </c>
      <c r="I159">
        <f t="shared" si="9"/>
        <v>0</v>
      </c>
      <c r="J159">
        <f>$G159*Home!$D$5</f>
        <v>6.25E-2</v>
      </c>
      <c r="K159">
        <f>INDEX(Pantry!$I$7:$I$68,MATCH($C159,Pantry!$A$7:$A$68,0))</f>
        <v>1</v>
      </c>
      <c r="L159">
        <f t="shared" si="10"/>
        <v>1</v>
      </c>
      <c r="M159">
        <f t="shared" si="11"/>
        <v>0</v>
      </c>
    </row>
    <row r="160" spans="1:13" x14ac:dyDescent="0.35">
      <c r="A160" t="s">
        <v>82</v>
      </c>
      <c r="B160" t="s">
        <v>83</v>
      </c>
      <c r="C160" t="s">
        <v>207</v>
      </c>
      <c r="D160">
        <v>1</v>
      </c>
      <c r="E160" t="s">
        <v>208</v>
      </c>
      <c r="F160">
        <v>4</v>
      </c>
      <c r="G160">
        <f t="shared" si="8"/>
        <v>0.25</v>
      </c>
      <c r="H160">
        <f>SUMIFS(Home!$E$28:$E$39,Home!$B$28:$B$39,$B160)</f>
        <v>0</v>
      </c>
      <c r="I160">
        <f t="shared" si="9"/>
        <v>0</v>
      </c>
      <c r="J160">
        <f>$G160*Home!$D$5</f>
        <v>0.25</v>
      </c>
      <c r="K160">
        <f>INDEX(Pantry!$I$7:$I$68,MATCH($C160,Pantry!$A$7:$A$68,0))</f>
        <v>6</v>
      </c>
      <c r="L160">
        <f t="shared" si="10"/>
        <v>1</v>
      </c>
      <c r="M160">
        <f t="shared" si="11"/>
        <v>0</v>
      </c>
    </row>
    <row r="161" spans="1:13" x14ac:dyDescent="0.35">
      <c r="A161" t="s">
        <v>82</v>
      </c>
      <c r="B161" t="s">
        <v>83</v>
      </c>
      <c r="C161" t="s">
        <v>209</v>
      </c>
      <c r="D161">
        <v>2</v>
      </c>
      <c r="E161" t="s">
        <v>208</v>
      </c>
      <c r="F161">
        <v>4</v>
      </c>
      <c r="G161">
        <f t="shared" si="8"/>
        <v>0.5</v>
      </c>
      <c r="H161">
        <f>SUMIFS(Home!$E$28:$E$39,Home!$B$28:$B$39,$B161)</f>
        <v>0</v>
      </c>
      <c r="I161">
        <f t="shared" si="9"/>
        <v>0</v>
      </c>
      <c r="J161">
        <f>$G161*Home!$D$5</f>
        <v>0.5</v>
      </c>
      <c r="K161">
        <f>INDEX(Pantry!$I$7:$I$68,MATCH($C161,Pantry!$A$7:$A$68,0))</f>
        <v>4</v>
      </c>
      <c r="L161">
        <f t="shared" si="10"/>
        <v>1</v>
      </c>
      <c r="M161">
        <f t="shared" si="11"/>
        <v>0</v>
      </c>
    </row>
    <row r="162" spans="1:13" x14ac:dyDescent="0.35">
      <c r="A162" t="s">
        <v>82</v>
      </c>
      <c r="B162" t="s">
        <v>83</v>
      </c>
      <c r="C162" t="s">
        <v>212</v>
      </c>
      <c r="D162">
        <v>1</v>
      </c>
      <c r="E162" t="s">
        <v>213</v>
      </c>
      <c r="F162">
        <v>4</v>
      </c>
      <c r="G162">
        <f t="shared" si="8"/>
        <v>0.25</v>
      </c>
      <c r="H162">
        <f>SUMIFS(Home!$E$28:$E$39,Home!$B$28:$B$39,$B162)</f>
        <v>0</v>
      </c>
      <c r="I162">
        <f t="shared" si="9"/>
        <v>0</v>
      </c>
      <c r="J162">
        <f>$G162*Home!$D$5</f>
        <v>0.25</v>
      </c>
      <c r="K162">
        <f>INDEX(Pantry!$I$7:$I$68,MATCH($C162,Pantry!$A$7:$A$68,0))</f>
        <v>1</v>
      </c>
      <c r="L162">
        <f t="shared" si="10"/>
        <v>1</v>
      </c>
      <c r="M162">
        <f t="shared" si="11"/>
        <v>0</v>
      </c>
    </row>
    <row r="163" spans="1:13" x14ac:dyDescent="0.35">
      <c r="A163" t="s">
        <v>82</v>
      </c>
      <c r="B163" t="s">
        <v>83</v>
      </c>
      <c r="C163" t="s">
        <v>231</v>
      </c>
      <c r="D163">
        <v>1</v>
      </c>
      <c r="E163" t="s">
        <v>222</v>
      </c>
      <c r="F163">
        <v>4</v>
      </c>
      <c r="G163">
        <f t="shared" si="8"/>
        <v>0.25</v>
      </c>
      <c r="H163">
        <f>SUMIFS(Home!$E$28:$E$39,Home!$B$28:$B$39,$B163)</f>
        <v>0</v>
      </c>
      <c r="I163">
        <f t="shared" si="9"/>
        <v>0</v>
      </c>
      <c r="J163">
        <f>$G163*Home!$D$5</f>
        <v>0.25</v>
      </c>
      <c r="K163">
        <f>INDEX(Pantry!$I$7:$I$68,MATCH($C163,Pantry!$A$7:$A$68,0))</f>
        <v>20</v>
      </c>
      <c r="L163">
        <f t="shared" si="10"/>
        <v>1</v>
      </c>
      <c r="M163">
        <f t="shared" si="11"/>
        <v>0</v>
      </c>
    </row>
    <row r="164" spans="1:13" x14ac:dyDescent="0.35">
      <c r="A164" t="s">
        <v>82</v>
      </c>
      <c r="B164" t="s">
        <v>83</v>
      </c>
      <c r="C164" t="s">
        <v>237</v>
      </c>
      <c r="D164">
        <v>1</v>
      </c>
      <c r="E164" t="s">
        <v>222</v>
      </c>
      <c r="F164">
        <v>4</v>
      </c>
      <c r="G164">
        <f t="shared" si="8"/>
        <v>0.25</v>
      </c>
      <c r="H164">
        <f>SUMIFS(Home!$E$28:$E$39,Home!$B$28:$B$39,$B164)</f>
        <v>0</v>
      </c>
      <c r="I164">
        <f t="shared" si="9"/>
        <v>0</v>
      </c>
      <c r="J164">
        <f>$G164*Home!$D$5</f>
        <v>0.25</v>
      </c>
      <c r="K164">
        <f>INDEX(Pantry!$I$7:$I$68,MATCH($C164,Pantry!$A$7:$A$68,0))</f>
        <v>5</v>
      </c>
      <c r="L164">
        <f t="shared" si="10"/>
        <v>1</v>
      </c>
      <c r="M164">
        <f t="shared" si="11"/>
        <v>0</v>
      </c>
    </row>
    <row r="165" spans="1:13" x14ac:dyDescent="0.35">
      <c r="A165" t="s">
        <v>82</v>
      </c>
      <c r="B165" t="s">
        <v>83</v>
      </c>
      <c r="C165" t="s">
        <v>251</v>
      </c>
      <c r="D165">
        <v>4</v>
      </c>
      <c r="E165" t="s">
        <v>213</v>
      </c>
      <c r="F165">
        <v>4</v>
      </c>
      <c r="G165">
        <f t="shared" si="8"/>
        <v>1</v>
      </c>
      <c r="H165">
        <f>SUMIFS(Home!$E$28:$E$39,Home!$B$28:$B$39,$B165)</f>
        <v>0</v>
      </c>
      <c r="I165">
        <f t="shared" si="9"/>
        <v>0</v>
      </c>
      <c r="J165">
        <f>$G165*Home!$D$5</f>
        <v>1</v>
      </c>
      <c r="K165">
        <f>INDEX(Pantry!$I$7:$I$68,MATCH($C165,Pantry!$A$7:$A$68,0))</f>
        <v>8</v>
      </c>
      <c r="L165">
        <f t="shared" si="10"/>
        <v>1</v>
      </c>
      <c r="M165">
        <f t="shared" si="11"/>
        <v>0</v>
      </c>
    </row>
    <row r="166" spans="1:13" x14ac:dyDescent="0.35">
      <c r="A166" t="s">
        <v>82</v>
      </c>
      <c r="B166" t="s">
        <v>83</v>
      </c>
      <c r="C166" t="s">
        <v>252</v>
      </c>
      <c r="D166">
        <v>2</v>
      </c>
      <c r="E166" t="s">
        <v>213</v>
      </c>
      <c r="F166">
        <v>4</v>
      </c>
      <c r="G166">
        <f t="shared" si="8"/>
        <v>0.5</v>
      </c>
      <c r="H166">
        <f>SUMIFS(Home!$E$28:$E$39,Home!$B$28:$B$39,$B166)</f>
        <v>0</v>
      </c>
      <c r="I166">
        <f t="shared" si="9"/>
        <v>0</v>
      </c>
      <c r="J166">
        <f>$G166*Home!$D$5</f>
        <v>0.5</v>
      </c>
      <c r="K166">
        <f>INDEX(Pantry!$I$7:$I$68,MATCH($C166,Pantry!$A$7:$A$68,0))</f>
        <v>2</v>
      </c>
      <c r="L166">
        <f t="shared" si="10"/>
        <v>1</v>
      </c>
      <c r="M166">
        <f t="shared" si="11"/>
        <v>0</v>
      </c>
    </row>
    <row r="167" spans="1:13" x14ac:dyDescent="0.35">
      <c r="A167" t="s">
        <v>82</v>
      </c>
      <c r="B167" t="s">
        <v>83</v>
      </c>
      <c r="C167" t="s">
        <v>215</v>
      </c>
      <c r="D167">
        <v>0.25</v>
      </c>
      <c r="E167" t="s">
        <v>211</v>
      </c>
      <c r="F167">
        <v>4</v>
      </c>
      <c r="G167">
        <f t="shared" si="8"/>
        <v>6.25E-2</v>
      </c>
      <c r="H167">
        <f>SUMIFS(Home!$E$28:$E$39,Home!$B$28:$B$39,$B167)</f>
        <v>0</v>
      </c>
      <c r="I167">
        <f t="shared" si="9"/>
        <v>0</v>
      </c>
      <c r="J167">
        <f>$G167*Home!$D$5</f>
        <v>6.25E-2</v>
      </c>
      <c r="K167">
        <f>INDEX(Pantry!$I$7:$I$68,MATCH($C167,Pantry!$A$7:$A$68,0))</f>
        <v>5</v>
      </c>
      <c r="L167">
        <f t="shared" si="10"/>
        <v>1</v>
      </c>
      <c r="M167">
        <f t="shared" si="11"/>
        <v>0</v>
      </c>
    </row>
    <row r="168" spans="1:13" x14ac:dyDescent="0.35">
      <c r="A168" t="s">
        <v>82</v>
      </c>
      <c r="B168" t="s">
        <v>83</v>
      </c>
      <c r="C168" t="s">
        <v>221</v>
      </c>
      <c r="D168">
        <v>1</v>
      </c>
      <c r="E168" t="s">
        <v>222</v>
      </c>
      <c r="F168">
        <v>4</v>
      </c>
      <c r="G168">
        <f t="shared" si="8"/>
        <v>0.25</v>
      </c>
      <c r="H168">
        <f>SUMIFS(Home!$E$28:$E$39,Home!$B$28:$B$39,$B168)</f>
        <v>0</v>
      </c>
      <c r="I168">
        <f t="shared" si="9"/>
        <v>0</v>
      </c>
      <c r="J168">
        <f>$G168*Home!$D$5</f>
        <v>0.25</v>
      </c>
      <c r="K168">
        <f>INDEX(Pantry!$I$7:$I$68,MATCH($C168,Pantry!$A$7:$A$68,0))</f>
        <v>50</v>
      </c>
      <c r="L168">
        <f t="shared" si="10"/>
        <v>1</v>
      </c>
      <c r="M168">
        <f t="shared" si="11"/>
        <v>0</v>
      </c>
    </row>
    <row r="169" spans="1:13" x14ac:dyDescent="0.35">
      <c r="A169" t="s">
        <v>82</v>
      </c>
      <c r="B169" t="s">
        <v>83</v>
      </c>
      <c r="C169" t="s">
        <v>256</v>
      </c>
      <c r="D169">
        <v>1</v>
      </c>
      <c r="E169" t="s">
        <v>208</v>
      </c>
      <c r="F169">
        <v>4</v>
      </c>
      <c r="G169">
        <f t="shared" si="8"/>
        <v>0.25</v>
      </c>
      <c r="H169">
        <f>SUMIFS(Home!$E$28:$E$39,Home!$B$28:$B$39,$B169)</f>
        <v>0</v>
      </c>
      <c r="I169">
        <f t="shared" si="9"/>
        <v>0</v>
      </c>
      <c r="J169">
        <f>$G169*Home!$D$5</f>
        <v>0.25</v>
      </c>
      <c r="K169">
        <f>INDEX(Pantry!$I$7:$I$68,MATCH($C169,Pantry!$A$7:$A$68,0))</f>
        <v>2</v>
      </c>
      <c r="L169">
        <f t="shared" si="10"/>
        <v>1</v>
      </c>
      <c r="M169">
        <f t="shared" si="11"/>
        <v>0</v>
      </c>
    </row>
    <row r="170" spans="1:13" x14ac:dyDescent="0.35">
      <c r="A170" t="s">
        <v>86</v>
      </c>
      <c r="B170" t="s">
        <v>87</v>
      </c>
      <c r="C170" t="s">
        <v>261</v>
      </c>
      <c r="D170">
        <v>300</v>
      </c>
      <c r="E170" t="s">
        <v>230</v>
      </c>
      <c r="F170">
        <v>4</v>
      </c>
      <c r="G170">
        <f t="shared" si="8"/>
        <v>75</v>
      </c>
      <c r="H170">
        <f>SUMIFS(Home!$E$28:$E$39,Home!$B$28:$B$39,$B170)</f>
        <v>0</v>
      </c>
      <c r="I170">
        <f t="shared" si="9"/>
        <v>0</v>
      </c>
      <c r="J170">
        <f>$G170*Home!$D$5</f>
        <v>75</v>
      </c>
      <c r="K170">
        <f>INDEX(Pantry!$I$7:$I$68,MATCH($C170,Pantry!$A$7:$A$68,0))</f>
        <v>500</v>
      </c>
      <c r="L170">
        <f t="shared" si="10"/>
        <v>1</v>
      </c>
      <c r="M170">
        <f t="shared" si="11"/>
        <v>0</v>
      </c>
    </row>
    <row r="171" spans="1:13" x14ac:dyDescent="0.35">
      <c r="A171" t="s">
        <v>86</v>
      </c>
      <c r="B171" t="s">
        <v>87</v>
      </c>
      <c r="C171" t="s">
        <v>204</v>
      </c>
      <c r="D171">
        <v>0.5</v>
      </c>
      <c r="E171" t="s">
        <v>205</v>
      </c>
      <c r="F171">
        <v>4</v>
      </c>
      <c r="G171">
        <f t="shared" si="8"/>
        <v>0.125</v>
      </c>
      <c r="H171">
        <f>SUMIFS(Home!$E$28:$E$39,Home!$B$28:$B$39,$B171)</f>
        <v>0</v>
      </c>
      <c r="I171">
        <f t="shared" si="9"/>
        <v>0</v>
      </c>
      <c r="J171">
        <f>$G171*Home!$D$5</f>
        <v>0.125</v>
      </c>
      <c r="K171">
        <f>INDEX(Pantry!$I$7:$I$68,MATCH($C171,Pantry!$A$7:$A$68,0))</f>
        <v>1</v>
      </c>
      <c r="L171">
        <f t="shared" si="10"/>
        <v>1</v>
      </c>
      <c r="M171">
        <f t="shared" si="11"/>
        <v>0</v>
      </c>
    </row>
    <row r="172" spans="1:13" x14ac:dyDescent="0.35">
      <c r="A172" t="s">
        <v>86</v>
      </c>
      <c r="B172" t="s">
        <v>87</v>
      </c>
      <c r="C172" t="s">
        <v>207</v>
      </c>
      <c r="D172">
        <v>2</v>
      </c>
      <c r="E172" t="s">
        <v>208</v>
      </c>
      <c r="F172">
        <v>4</v>
      </c>
      <c r="G172">
        <f t="shared" si="8"/>
        <v>0.5</v>
      </c>
      <c r="H172">
        <f>SUMIFS(Home!$E$28:$E$39,Home!$B$28:$B$39,$B172)</f>
        <v>0</v>
      </c>
      <c r="I172">
        <f t="shared" si="9"/>
        <v>0</v>
      </c>
      <c r="J172">
        <f>$G172*Home!$D$5</f>
        <v>0.5</v>
      </c>
      <c r="K172">
        <f>INDEX(Pantry!$I$7:$I$68,MATCH($C172,Pantry!$A$7:$A$68,0))</f>
        <v>6</v>
      </c>
      <c r="L172">
        <f t="shared" si="10"/>
        <v>1</v>
      </c>
      <c r="M172">
        <f t="shared" si="11"/>
        <v>0</v>
      </c>
    </row>
    <row r="173" spans="1:13" x14ac:dyDescent="0.35">
      <c r="A173" t="s">
        <v>86</v>
      </c>
      <c r="B173" t="s">
        <v>87</v>
      </c>
      <c r="C173" t="s">
        <v>210</v>
      </c>
      <c r="D173">
        <v>0.5</v>
      </c>
      <c r="E173" t="s">
        <v>211</v>
      </c>
      <c r="F173">
        <v>4</v>
      </c>
      <c r="G173">
        <f t="shared" si="8"/>
        <v>0.125</v>
      </c>
      <c r="H173">
        <f>SUMIFS(Home!$E$28:$E$39,Home!$B$28:$B$39,$B173)</f>
        <v>0</v>
      </c>
      <c r="I173">
        <f t="shared" si="9"/>
        <v>0</v>
      </c>
      <c r="J173">
        <f>$G173*Home!$D$5</f>
        <v>0.125</v>
      </c>
      <c r="K173">
        <f>INDEX(Pantry!$I$7:$I$68,MATCH($C173,Pantry!$A$7:$A$68,0))</f>
        <v>2</v>
      </c>
      <c r="L173">
        <f t="shared" si="10"/>
        <v>1</v>
      </c>
      <c r="M173">
        <f t="shared" si="11"/>
        <v>0</v>
      </c>
    </row>
    <row r="174" spans="1:13" x14ac:dyDescent="0.35">
      <c r="A174" t="s">
        <v>86</v>
      </c>
      <c r="B174" t="s">
        <v>87</v>
      </c>
      <c r="C174" t="s">
        <v>212</v>
      </c>
      <c r="D174">
        <v>1.5</v>
      </c>
      <c r="E174" t="s">
        <v>213</v>
      </c>
      <c r="F174">
        <v>4</v>
      </c>
      <c r="G174">
        <f t="shared" si="8"/>
        <v>0.375</v>
      </c>
      <c r="H174">
        <f>SUMIFS(Home!$E$28:$E$39,Home!$B$28:$B$39,$B174)</f>
        <v>0</v>
      </c>
      <c r="I174">
        <f t="shared" si="9"/>
        <v>0</v>
      </c>
      <c r="J174">
        <f>$G174*Home!$D$5</f>
        <v>0.375</v>
      </c>
      <c r="K174">
        <f>INDEX(Pantry!$I$7:$I$68,MATCH($C174,Pantry!$A$7:$A$68,0))</f>
        <v>1</v>
      </c>
      <c r="L174">
        <f t="shared" si="10"/>
        <v>1</v>
      </c>
      <c r="M174">
        <f t="shared" si="11"/>
        <v>0</v>
      </c>
    </row>
    <row r="175" spans="1:13" x14ac:dyDescent="0.35">
      <c r="A175" t="s">
        <v>86</v>
      </c>
      <c r="B175" t="s">
        <v>87</v>
      </c>
      <c r="C175" t="s">
        <v>225</v>
      </c>
      <c r="D175">
        <v>1</v>
      </c>
      <c r="E175" t="s">
        <v>213</v>
      </c>
      <c r="F175">
        <v>4</v>
      </c>
      <c r="G175">
        <f t="shared" si="8"/>
        <v>0.25</v>
      </c>
      <c r="H175">
        <f>SUMIFS(Home!$E$28:$E$39,Home!$B$28:$B$39,$B175)</f>
        <v>0</v>
      </c>
      <c r="I175">
        <f t="shared" si="9"/>
        <v>0</v>
      </c>
      <c r="J175">
        <f>$G175*Home!$D$5</f>
        <v>0.25</v>
      </c>
      <c r="K175">
        <f>INDEX(Pantry!$I$7:$I$68,MATCH($C175,Pantry!$A$7:$A$68,0))</f>
        <v>4</v>
      </c>
      <c r="L175">
        <f t="shared" si="10"/>
        <v>1</v>
      </c>
      <c r="M175">
        <f t="shared" si="11"/>
        <v>0</v>
      </c>
    </row>
    <row r="176" spans="1:13" x14ac:dyDescent="0.35">
      <c r="A176" t="s">
        <v>86</v>
      </c>
      <c r="B176" t="s">
        <v>87</v>
      </c>
      <c r="C176" t="s">
        <v>233</v>
      </c>
      <c r="D176">
        <v>1.5</v>
      </c>
      <c r="E176" t="s">
        <v>222</v>
      </c>
      <c r="F176">
        <v>4</v>
      </c>
      <c r="G176">
        <f t="shared" si="8"/>
        <v>0.375</v>
      </c>
      <c r="H176">
        <f>SUMIFS(Home!$E$28:$E$39,Home!$B$28:$B$39,$B176)</f>
        <v>0</v>
      </c>
      <c r="I176">
        <f t="shared" si="9"/>
        <v>0</v>
      </c>
      <c r="J176">
        <f>$G176*Home!$D$5</f>
        <v>0.375</v>
      </c>
      <c r="K176">
        <f>INDEX(Pantry!$I$7:$I$68,MATCH($C176,Pantry!$A$7:$A$68,0))</f>
        <v>12</v>
      </c>
      <c r="L176">
        <f t="shared" si="10"/>
        <v>1</v>
      </c>
      <c r="M176">
        <f t="shared" si="11"/>
        <v>0</v>
      </c>
    </row>
    <row r="177" spans="1:13" x14ac:dyDescent="0.35">
      <c r="A177" t="s">
        <v>86</v>
      </c>
      <c r="B177" t="s">
        <v>87</v>
      </c>
      <c r="C177" t="s">
        <v>231</v>
      </c>
      <c r="D177">
        <v>1.5</v>
      </c>
      <c r="E177" t="s">
        <v>222</v>
      </c>
      <c r="F177">
        <v>4</v>
      </c>
      <c r="G177">
        <f t="shared" si="8"/>
        <v>0.375</v>
      </c>
      <c r="H177">
        <f>SUMIFS(Home!$E$28:$E$39,Home!$B$28:$B$39,$B177)</f>
        <v>0</v>
      </c>
      <c r="I177">
        <f t="shared" si="9"/>
        <v>0</v>
      </c>
      <c r="J177">
        <f>$G177*Home!$D$5</f>
        <v>0.375</v>
      </c>
      <c r="K177">
        <f>INDEX(Pantry!$I$7:$I$68,MATCH($C177,Pantry!$A$7:$A$68,0))</f>
        <v>20</v>
      </c>
      <c r="L177">
        <f t="shared" si="10"/>
        <v>1</v>
      </c>
      <c r="M177">
        <f t="shared" si="11"/>
        <v>0</v>
      </c>
    </row>
    <row r="178" spans="1:13" x14ac:dyDescent="0.35">
      <c r="A178" t="s">
        <v>86</v>
      </c>
      <c r="B178" t="s">
        <v>87</v>
      </c>
      <c r="C178" t="s">
        <v>223</v>
      </c>
      <c r="D178">
        <v>0.5</v>
      </c>
      <c r="E178" t="s">
        <v>211</v>
      </c>
      <c r="F178">
        <v>4</v>
      </c>
      <c r="G178">
        <f t="shared" si="8"/>
        <v>0.125</v>
      </c>
      <c r="H178">
        <f>SUMIFS(Home!$E$28:$E$39,Home!$B$28:$B$39,$B178)</f>
        <v>0</v>
      </c>
      <c r="I178">
        <f t="shared" si="9"/>
        <v>0</v>
      </c>
      <c r="J178">
        <f>$G178*Home!$D$5</f>
        <v>0.125</v>
      </c>
      <c r="K178">
        <f>INDEX(Pantry!$I$7:$I$68,MATCH($C178,Pantry!$A$7:$A$68,0))</f>
        <v>0</v>
      </c>
      <c r="L178">
        <f t="shared" si="10"/>
        <v>0</v>
      </c>
      <c r="M178">
        <f t="shared" si="11"/>
        <v>0.125</v>
      </c>
    </row>
    <row r="179" spans="1:13" x14ac:dyDescent="0.35">
      <c r="A179" t="s">
        <v>86</v>
      </c>
      <c r="B179" t="s">
        <v>87</v>
      </c>
      <c r="C179" t="s">
        <v>215</v>
      </c>
      <c r="D179">
        <v>0.5</v>
      </c>
      <c r="E179" t="s">
        <v>211</v>
      </c>
      <c r="F179">
        <v>4</v>
      </c>
      <c r="G179">
        <f t="shared" si="8"/>
        <v>0.125</v>
      </c>
      <c r="H179">
        <f>SUMIFS(Home!$E$28:$E$39,Home!$B$28:$B$39,$B179)</f>
        <v>0</v>
      </c>
      <c r="I179">
        <f t="shared" si="9"/>
        <v>0</v>
      </c>
      <c r="J179">
        <f>$G179*Home!$D$5</f>
        <v>0.125</v>
      </c>
      <c r="K179">
        <f>INDEX(Pantry!$I$7:$I$68,MATCH($C179,Pantry!$A$7:$A$68,0))</f>
        <v>5</v>
      </c>
      <c r="L179">
        <f t="shared" si="10"/>
        <v>1</v>
      </c>
      <c r="M179">
        <f t="shared" si="11"/>
        <v>0</v>
      </c>
    </row>
    <row r="180" spans="1:13" x14ac:dyDescent="0.35">
      <c r="A180" t="s">
        <v>86</v>
      </c>
      <c r="B180" t="s">
        <v>87</v>
      </c>
      <c r="C180" t="s">
        <v>221</v>
      </c>
      <c r="D180">
        <v>1.5</v>
      </c>
      <c r="E180" t="s">
        <v>222</v>
      </c>
      <c r="F180">
        <v>4</v>
      </c>
      <c r="G180">
        <f t="shared" si="8"/>
        <v>0.375</v>
      </c>
      <c r="H180">
        <f>SUMIFS(Home!$E$28:$E$39,Home!$B$28:$B$39,$B180)</f>
        <v>0</v>
      </c>
      <c r="I180">
        <f t="shared" si="9"/>
        <v>0</v>
      </c>
      <c r="J180">
        <f>$G180*Home!$D$5</f>
        <v>0.375</v>
      </c>
      <c r="K180">
        <f>INDEX(Pantry!$I$7:$I$68,MATCH($C180,Pantry!$A$7:$A$68,0))</f>
        <v>50</v>
      </c>
      <c r="L180">
        <f t="shared" si="10"/>
        <v>1</v>
      </c>
      <c r="M180">
        <f t="shared" si="11"/>
        <v>0</v>
      </c>
    </row>
    <row r="181" spans="1:13" x14ac:dyDescent="0.35">
      <c r="A181" t="s">
        <v>90</v>
      </c>
      <c r="B181" t="s">
        <v>91</v>
      </c>
      <c r="C181" t="s">
        <v>262</v>
      </c>
      <c r="D181">
        <v>500</v>
      </c>
      <c r="E181" t="s">
        <v>230</v>
      </c>
      <c r="F181">
        <v>4</v>
      </c>
      <c r="G181">
        <f t="shared" si="8"/>
        <v>125</v>
      </c>
      <c r="H181">
        <f>SUMIFS(Home!$E$28:$E$39,Home!$B$28:$B$39,$B181)</f>
        <v>0</v>
      </c>
      <c r="I181">
        <f t="shared" si="9"/>
        <v>0</v>
      </c>
      <c r="J181">
        <f>$G181*Home!$D$5</f>
        <v>125</v>
      </c>
      <c r="K181">
        <f>INDEX(Pantry!$I$7:$I$68,MATCH($C181,Pantry!$A$7:$A$68,0))</f>
        <v>0</v>
      </c>
      <c r="L181">
        <f t="shared" si="10"/>
        <v>0</v>
      </c>
      <c r="M181">
        <f t="shared" si="11"/>
        <v>125</v>
      </c>
    </row>
    <row r="182" spans="1:13" x14ac:dyDescent="0.35">
      <c r="A182" t="s">
        <v>90</v>
      </c>
      <c r="B182" t="s">
        <v>91</v>
      </c>
      <c r="C182" t="s">
        <v>246</v>
      </c>
      <c r="D182">
        <v>2</v>
      </c>
      <c r="E182" t="s">
        <v>208</v>
      </c>
      <c r="F182">
        <v>4</v>
      </c>
      <c r="G182">
        <f t="shared" si="8"/>
        <v>0.5</v>
      </c>
      <c r="H182">
        <f>SUMIFS(Home!$E$28:$E$39,Home!$B$28:$B$39,$B182)</f>
        <v>0</v>
      </c>
      <c r="I182">
        <f t="shared" si="9"/>
        <v>0</v>
      </c>
      <c r="J182">
        <f>$G182*Home!$D$5</f>
        <v>0.5</v>
      </c>
      <c r="K182">
        <f>INDEX(Pantry!$I$7:$I$68,MATCH($C182,Pantry!$A$7:$A$68,0))</f>
        <v>5</v>
      </c>
      <c r="L182">
        <f t="shared" si="10"/>
        <v>1</v>
      </c>
      <c r="M182">
        <f t="shared" si="11"/>
        <v>0</v>
      </c>
    </row>
    <row r="183" spans="1:13" x14ac:dyDescent="0.35">
      <c r="A183" t="s">
        <v>90</v>
      </c>
      <c r="B183" t="s">
        <v>91</v>
      </c>
      <c r="C183" t="s">
        <v>207</v>
      </c>
      <c r="D183">
        <v>1</v>
      </c>
      <c r="E183" t="s">
        <v>208</v>
      </c>
      <c r="F183">
        <v>4</v>
      </c>
      <c r="G183">
        <f t="shared" si="8"/>
        <v>0.25</v>
      </c>
      <c r="H183">
        <f>SUMIFS(Home!$E$28:$E$39,Home!$B$28:$B$39,$B183)</f>
        <v>0</v>
      </c>
      <c r="I183">
        <f t="shared" si="9"/>
        <v>0</v>
      </c>
      <c r="J183">
        <f>$G183*Home!$D$5</f>
        <v>0.25</v>
      </c>
      <c r="K183">
        <f>INDEX(Pantry!$I$7:$I$68,MATCH($C183,Pantry!$A$7:$A$68,0))</f>
        <v>6</v>
      </c>
      <c r="L183">
        <f t="shared" si="10"/>
        <v>1</v>
      </c>
      <c r="M183">
        <f t="shared" si="11"/>
        <v>0</v>
      </c>
    </row>
    <row r="184" spans="1:13" x14ac:dyDescent="0.35">
      <c r="A184" t="s">
        <v>90</v>
      </c>
      <c r="B184" t="s">
        <v>91</v>
      </c>
      <c r="C184" t="s">
        <v>226</v>
      </c>
      <c r="D184">
        <v>1.5</v>
      </c>
      <c r="E184" t="s">
        <v>222</v>
      </c>
      <c r="F184">
        <v>4</v>
      </c>
      <c r="G184">
        <f t="shared" si="8"/>
        <v>0.375</v>
      </c>
      <c r="H184">
        <f>SUMIFS(Home!$E$28:$E$39,Home!$B$28:$B$39,$B184)</f>
        <v>0</v>
      </c>
      <c r="I184">
        <f t="shared" si="9"/>
        <v>0</v>
      </c>
      <c r="J184">
        <f>$G184*Home!$D$5</f>
        <v>0.375</v>
      </c>
      <c r="K184">
        <f>INDEX(Pantry!$I$7:$I$68,MATCH($C184,Pantry!$A$7:$A$68,0))</f>
        <v>8</v>
      </c>
      <c r="L184">
        <f t="shared" si="10"/>
        <v>1</v>
      </c>
      <c r="M184">
        <f t="shared" si="11"/>
        <v>0</v>
      </c>
    </row>
    <row r="185" spans="1:13" x14ac:dyDescent="0.35">
      <c r="A185" t="s">
        <v>90</v>
      </c>
      <c r="B185" t="s">
        <v>91</v>
      </c>
      <c r="C185" t="s">
        <v>227</v>
      </c>
      <c r="D185">
        <v>1.5</v>
      </c>
      <c r="E185" t="s">
        <v>222</v>
      </c>
      <c r="F185">
        <v>4</v>
      </c>
      <c r="G185">
        <f t="shared" si="8"/>
        <v>0.375</v>
      </c>
      <c r="H185">
        <f>SUMIFS(Home!$E$28:$E$39,Home!$B$28:$B$39,$B185)</f>
        <v>0</v>
      </c>
      <c r="I185">
        <f t="shared" si="9"/>
        <v>0</v>
      </c>
      <c r="J185">
        <f>$G185*Home!$D$5</f>
        <v>0.375</v>
      </c>
      <c r="K185">
        <f>INDEX(Pantry!$I$7:$I$68,MATCH($C185,Pantry!$A$7:$A$68,0))</f>
        <v>6</v>
      </c>
      <c r="L185">
        <f t="shared" si="10"/>
        <v>1</v>
      </c>
      <c r="M185">
        <f t="shared" si="11"/>
        <v>0</v>
      </c>
    </row>
    <row r="186" spans="1:13" x14ac:dyDescent="0.35">
      <c r="A186" t="s">
        <v>90</v>
      </c>
      <c r="B186" t="s">
        <v>91</v>
      </c>
      <c r="C186" t="s">
        <v>231</v>
      </c>
      <c r="D186">
        <v>1.5</v>
      </c>
      <c r="E186" t="s">
        <v>222</v>
      </c>
      <c r="F186">
        <v>4</v>
      </c>
      <c r="G186">
        <f t="shared" si="8"/>
        <v>0.375</v>
      </c>
      <c r="H186">
        <f>SUMIFS(Home!$E$28:$E$39,Home!$B$28:$B$39,$B186)</f>
        <v>0</v>
      </c>
      <c r="I186">
        <f t="shared" si="9"/>
        <v>0</v>
      </c>
      <c r="J186">
        <f>$G186*Home!$D$5</f>
        <v>0.375</v>
      </c>
      <c r="K186">
        <f>INDEX(Pantry!$I$7:$I$68,MATCH($C186,Pantry!$A$7:$A$68,0))</f>
        <v>20</v>
      </c>
      <c r="L186">
        <f t="shared" si="10"/>
        <v>1</v>
      </c>
      <c r="M186">
        <f t="shared" si="11"/>
        <v>0</v>
      </c>
    </row>
    <row r="187" spans="1:13" x14ac:dyDescent="0.35">
      <c r="A187" t="s">
        <v>90</v>
      </c>
      <c r="B187" t="s">
        <v>91</v>
      </c>
      <c r="C187" t="s">
        <v>232</v>
      </c>
      <c r="D187">
        <v>0.5</v>
      </c>
      <c r="E187" t="s">
        <v>222</v>
      </c>
      <c r="F187">
        <v>4</v>
      </c>
      <c r="G187">
        <f t="shared" si="8"/>
        <v>0.125</v>
      </c>
      <c r="H187">
        <f>SUMIFS(Home!$E$28:$E$39,Home!$B$28:$B$39,$B187)</f>
        <v>0</v>
      </c>
      <c r="I187">
        <f t="shared" si="9"/>
        <v>0</v>
      </c>
      <c r="J187">
        <f>$G187*Home!$D$5</f>
        <v>0.125</v>
      </c>
      <c r="K187">
        <f>INDEX(Pantry!$I$7:$I$68,MATCH($C187,Pantry!$A$7:$A$68,0))</f>
        <v>15</v>
      </c>
      <c r="L187">
        <f t="shared" si="10"/>
        <v>1</v>
      </c>
      <c r="M187">
        <f t="shared" si="11"/>
        <v>0</v>
      </c>
    </row>
    <row r="188" spans="1:13" x14ac:dyDescent="0.35">
      <c r="A188" t="s">
        <v>90</v>
      </c>
      <c r="B188" t="s">
        <v>91</v>
      </c>
      <c r="C188" t="s">
        <v>215</v>
      </c>
      <c r="D188">
        <v>0.5</v>
      </c>
      <c r="E188" t="s">
        <v>211</v>
      </c>
      <c r="F188">
        <v>4</v>
      </c>
      <c r="G188">
        <f t="shared" si="8"/>
        <v>0.125</v>
      </c>
      <c r="H188">
        <f>SUMIFS(Home!$E$28:$E$39,Home!$B$28:$B$39,$B188)</f>
        <v>0</v>
      </c>
      <c r="I188">
        <f t="shared" si="9"/>
        <v>0</v>
      </c>
      <c r="J188">
        <f>$G188*Home!$D$5</f>
        <v>0.125</v>
      </c>
      <c r="K188">
        <f>INDEX(Pantry!$I$7:$I$68,MATCH($C188,Pantry!$A$7:$A$68,0))</f>
        <v>5</v>
      </c>
      <c r="L188">
        <f t="shared" si="10"/>
        <v>1</v>
      </c>
      <c r="M188">
        <f t="shared" si="11"/>
        <v>0</v>
      </c>
    </row>
    <row r="189" spans="1:13" x14ac:dyDescent="0.35">
      <c r="A189" t="s">
        <v>90</v>
      </c>
      <c r="B189" t="s">
        <v>91</v>
      </c>
      <c r="C189" t="s">
        <v>221</v>
      </c>
      <c r="D189">
        <v>1.5</v>
      </c>
      <c r="E189" t="s">
        <v>222</v>
      </c>
      <c r="F189">
        <v>4</v>
      </c>
      <c r="G189">
        <f t="shared" si="8"/>
        <v>0.375</v>
      </c>
      <c r="H189">
        <f>SUMIFS(Home!$E$28:$E$39,Home!$B$28:$B$39,$B189)</f>
        <v>0</v>
      </c>
      <c r="I189">
        <f t="shared" si="9"/>
        <v>0</v>
      </c>
      <c r="J189">
        <f>$G189*Home!$D$5</f>
        <v>0.375</v>
      </c>
      <c r="K189">
        <f>INDEX(Pantry!$I$7:$I$68,MATCH($C189,Pantry!$A$7:$A$68,0))</f>
        <v>50</v>
      </c>
      <c r="L189">
        <f t="shared" si="10"/>
        <v>1</v>
      </c>
      <c r="M189">
        <f t="shared" si="11"/>
        <v>0</v>
      </c>
    </row>
    <row r="190" spans="1:13" x14ac:dyDescent="0.35">
      <c r="A190" t="s">
        <v>90</v>
      </c>
      <c r="B190" t="s">
        <v>91</v>
      </c>
      <c r="C190" t="s">
        <v>220</v>
      </c>
      <c r="D190">
        <v>1</v>
      </c>
      <c r="E190" t="s">
        <v>208</v>
      </c>
      <c r="F190">
        <v>4</v>
      </c>
      <c r="G190">
        <f t="shared" si="8"/>
        <v>0.25</v>
      </c>
      <c r="H190">
        <f>SUMIFS(Home!$E$28:$E$39,Home!$B$28:$B$39,$B190)</f>
        <v>0</v>
      </c>
      <c r="I190">
        <f t="shared" si="9"/>
        <v>0</v>
      </c>
      <c r="J190">
        <f>$G190*Home!$D$5</f>
        <v>0.25</v>
      </c>
      <c r="K190">
        <f>INDEX(Pantry!$I$7:$I$68,MATCH($C190,Pantry!$A$7:$A$68,0))</f>
        <v>1</v>
      </c>
      <c r="L190">
        <f t="shared" si="10"/>
        <v>1</v>
      </c>
      <c r="M190">
        <f t="shared" si="11"/>
        <v>0</v>
      </c>
    </row>
    <row r="191" spans="1:13" x14ac:dyDescent="0.35">
      <c r="A191" t="s">
        <v>90</v>
      </c>
      <c r="B191" t="s">
        <v>91</v>
      </c>
      <c r="C191" t="s">
        <v>219</v>
      </c>
      <c r="D191">
        <v>2</v>
      </c>
      <c r="E191" t="s">
        <v>208</v>
      </c>
      <c r="F191">
        <v>4</v>
      </c>
      <c r="G191">
        <f t="shared" si="8"/>
        <v>0.5</v>
      </c>
      <c r="H191">
        <f>SUMIFS(Home!$E$28:$E$39,Home!$B$28:$B$39,$B191)</f>
        <v>0</v>
      </c>
      <c r="I191">
        <f t="shared" si="9"/>
        <v>0</v>
      </c>
      <c r="J191">
        <f>$G191*Home!$D$5</f>
        <v>0.5</v>
      </c>
      <c r="K191">
        <f>INDEX(Pantry!$I$7:$I$68,MATCH($C191,Pantry!$A$7:$A$68,0))</f>
        <v>10</v>
      </c>
      <c r="L191">
        <f t="shared" si="10"/>
        <v>1</v>
      </c>
      <c r="M191">
        <f t="shared" si="11"/>
        <v>0</v>
      </c>
    </row>
    <row r="192" spans="1:13" x14ac:dyDescent="0.35">
      <c r="A192" t="s">
        <v>90</v>
      </c>
      <c r="B192" t="s">
        <v>91</v>
      </c>
      <c r="C192" t="s">
        <v>218</v>
      </c>
      <c r="D192">
        <v>0.5</v>
      </c>
      <c r="E192" t="s">
        <v>217</v>
      </c>
      <c r="F192">
        <v>4</v>
      </c>
      <c r="G192">
        <f t="shared" si="8"/>
        <v>0.125</v>
      </c>
      <c r="H192">
        <f>SUMIFS(Home!$E$28:$E$39,Home!$B$28:$B$39,$B192)</f>
        <v>0</v>
      </c>
      <c r="I192">
        <f t="shared" si="9"/>
        <v>0</v>
      </c>
      <c r="J192">
        <f>$G192*Home!$D$5</f>
        <v>0.125</v>
      </c>
      <c r="K192">
        <f>INDEX(Pantry!$I$7:$I$68,MATCH($C192,Pantry!$A$7:$A$68,0))</f>
        <v>2</v>
      </c>
      <c r="L192">
        <f t="shared" si="10"/>
        <v>1</v>
      </c>
      <c r="M192">
        <f t="shared" si="11"/>
        <v>0</v>
      </c>
    </row>
    <row r="193" spans="1:13" x14ac:dyDescent="0.35">
      <c r="A193" t="s">
        <v>94</v>
      </c>
      <c r="B193" t="s">
        <v>95</v>
      </c>
      <c r="C193" t="s">
        <v>263</v>
      </c>
      <c r="D193">
        <v>1</v>
      </c>
      <c r="E193" t="s">
        <v>208</v>
      </c>
      <c r="F193">
        <v>4</v>
      </c>
      <c r="G193">
        <f t="shared" si="8"/>
        <v>0.25</v>
      </c>
      <c r="H193">
        <f>SUMIFS(Home!$E$28:$E$39,Home!$B$28:$B$39,$B193)</f>
        <v>0</v>
      </c>
      <c r="I193">
        <f t="shared" si="9"/>
        <v>0</v>
      </c>
      <c r="J193">
        <f>$G193*Home!$D$5</f>
        <v>0.25</v>
      </c>
      <c r="K193">
        <f>INDEX(Pantry!$I$7:$I$68,MATCH($C193,Pantry!$A$7:$A$68,0))</f>
        <v>0</v>
      </c>
      <c r="L193">
        <f t="shared" si="10"/>
        <v>0</v>
      </c>
      <c r="M193">
        <f t="shared" si="11"/>
        <v>0.25</v>
      </c>
    </row>
    <row r="194" spans="1:13" x14ac:dyDescent="0.35">
      <c r="A194" t="s">
        <v>94</v>
      </c>
      <c r="B194" t="s">
        <v>95</v>
      </c>
      <c r="C194" t="s">
        <v>246</v>
      </c>
      <c r="D194">
        <v>2</v>
      </c>
      <c r="E194" t="s">
        <v>208</v>
      </c>
      <c r="F194">
        <v>4</v>
      </c>
      <c r="G194">
        <f t="shared" si="8"/>
        <v>0.5</v>
      </c>
      <c r="H194">
        <f>SUMIFS(Home!$E$28:$E$39,Home!$B$28:$B$39,$B194)</f>
        <v>0</v>
      </c>
      <c r="I194">
        <f t="shared" si="9"/>
        <v>0</v>
      </c>
      <c r="J194">
        <f>$G194*Home!$D$5</f>
        <v>0.5</v>
      </c>
      <c r="K194">
        <f>INDEX(Pantry!$I$7:$I$68,MATCH($C194,Pantry!$A$7:$A$68,0))</f>
        <v>5</v>
      </c>
      <c r="L194">
        <f t="shared" si="10"/>
        <v>1</v>
      </c>
      <c r="M194">
        <f t="shared" si="11"/>
        <v>0</v>
      </c>
    </row>
    <row r="195" spans="1:13" x14ac:dyDescent="0.35">
      <c r="A195" t="s">
        <v>94</v>
      </c>
      <c r="B195" t="s">
        <v>95</v>
      </c>
      <c r="C195" t="s">
        <v>258</v>
      </c>
      <c r="D195">
        <v>1</v>
      </c>
      <c r="E195" t="s">
        <v>208</v>
      </c>
      <c r="F195">
        <v>4</v>
      </c>
      <c r="G195">
        <f t="shared" ref="G195:G258" si="12">$D195/$F195</f>
        <v>0.25</v>
      </c>
      <c r="H195">
        <f>SUMIFS(Home!$E$28:$E$39,Home!$B$28:$B$39,$B195)</f>
        <v>0</v>
      </c>
      <c r="I195">
        <f t="shared" ref="I195:I258" si="13">$G195*$H195</f>
        <v>0</v>
      </c>
      <c r="J195">
        <f>$G195*Home!$D$5</f>
        <v>0.25</v>
      </c>
      <c r="K195">
        <f>INDEX(Pantry!$I$7:$I$68,MATCH($C195,Pantry!$A$7:$A$68,0))</f>
        <v>3</v>
      </c>
      <c r="L195">
        <f t="shared" ref="L195:L258" si="14">IF($K195&gt;=$J195-0.0001,1,0)</f>
        <v>1</v>
      </c>
      <c r="M195">
        <f t="shared" ref="M195:M258" si="15">MAX(0,$J195-$K195)</f>
        <v>0</v>
      </c>
    </row>
    <row r="196" spans="1:13" x14ac:dyDescent="0.35">
      <c r="A196" t="s">
        <v>94</v>
      </c>
      <c r="B196" t="s">
        <v>95</v>
      </c>
      <c r="C196" t="s">
        <v>207</v>
      </c>
      <c r="D196">
        <v>2</v>
      </c>
      <c r="E196" t="s">
        <v>208</v>
      </c>
      <c r="F196">
        <v>4</v>
      </c>
      <c r="G196">
        <f t="shared" si="12"/>
        <v>0.5</v>
      </c>
      <c r="H196">
        <f>SUMIFS(Home!$E$28:$E$39,Home!$B$28:$B$39,$B196)</f>
        <v>0</v>
      </c>
      <c r="I196">
        <f t="shared" si="13"/>
        <v>0</v>
      </c>
      <c r="J196">
        <f>$G196*Home!$D$5</f>
        <v>0.5</v>
      </c>
      <c r="K196">
        <f>INDEX(Pantry!$I$7:$I$68,MATCH($C196,Pantry!$A$7:$A$68,0))</f>
        <v>6</v>
      </c>
      <c r="L196">
        <f t="shared" si="14"/>
        <v>1</v>
      </c>
      <c r="M196">
        <f t="shared" si="15"/>
        <v>0</v>
      </c>
    </row>
    <row r="197" spans="1:13" x14ac:dyDescent="0.35">
      <c r="A197" t="s">
        <v>94</v>
      </c>
      <c r="B197" t="s">
        <v>95</v>
      </c>
      <c r="C197" t="s">
        <v>209</v>
      </c>
      <c r="D197">
        <v>2</v>
      </c>
      <c r="E197" t="s">
        <v>208</v>
      </c>
      <c r="F197">
        <v>4</v>
      </c>
      <c r="G197">
        <f t="shared" si="12"/>
        <v>0.5</v>
      </c>
      <c r="H197">
        <f>SUMIFS(Home!$E$28:$E$39,Home!$B$28:$B$39,$B197)</f>
        <v>0</v>
      </c>
      <c r="I197">
        <f t="shared" si="13"/>
        <v>0</v>
      </c>
      <c r="J197">
        <f>$G197*Home!$D$5</f>
        <v>0.5</v>
      </c>
      <c r="K197">
        <f>INDEX(Pantry!$I$7:$I$68,MATCH($C197,Pantry!$A$7:$A$68,0))</f>
        <v>4</v>
      </c>
      <c r="L197">
        <f t="shared" si="14"/>
        <v>1</v>
      </c>
      <c r="M197">
        <f t="shared" si="15"/>
        <v>0</v>
      </c>
    </row>
    <row r="198" spans="1:13" x14ac:dyDescent="0.35">
      <c r="A198" t="s">
        <v>94</v>
      </c>
      <c r="B198" t="s">
        <v>95</v>
      </c>
      <c r="C198" t="s">
        <v>212</v>
      </c>
      <c r="D198">
        <v>1.5</v>
      </c>
      <c r="E198" t="s">
        <v>213</v>
      </c>
      <c r="F198">
        <v>4</v>
      </c>
      <c r="G198">
        <f t="shared" si="12"/>
        <v>0.375</v>
      </c>
      <c r="H198">
        <f>SUMIFS(Home!$E$28:$E$39,Home!$B$28:$B$39,$B198)</f>
        <v>0</v>
      </c>
      <c r="I198">
        <f t="shared" si="13"/>
        <v>0</v>
      </c>
      <c r="J198">
        <f>$G198*Home!$D$5</f>
        <v>0.375</v>
      </c>
      <c r="K198">
        <f>INDEX(Pantry!$I$7:$I$68,MATCH($C198,Pantry!$A$7:$A$68,0))</f>
        <v>1</v>
      </c>
      <c r="L198">
        <f t="shared" si="14"/>
        <v>1</v>
      </c>
      <c r="M198">
        <f t="shared" si="15"/>
        <v>0</v>
      </c>
    </row>
    <row r="199" spans="1:13" x14ac:dyDescent="0.35">
      <c r="A199" t="s">
        <v>94</v>
      </c>
      <c r="B199" t="s">
        <v>95</v>
      </c>
      <c r="C199" t="s">
        <v>226</v>
      </c>
      <c r="D199">
        <v>1.5</v>
      </c>
      <c r="E199" t="s">
        <v>222</v>
      </c>
      <c r="F199">
        <v>4</v>
      </c>
      <c r="G199">
        <f t="shared" si="12"/>
        <v>0.375</v>
      </c>
      <c r="H199">
        <f>SUMIFS(Home!$E$28:$E$39,Home!$B$28:$B$39,$B199)</f>
        <v>0</v>
      </c>
      <c r="I199">
        <f t="shared" si="13"/>
        <v>0</v>
      </c>
      <c r="J199">
        <f>$G199*Home!$D$5</f>
        <v>0.375</v>
      </c>
      <c r="K199">
        <f>INDEX(Pantry!$I$7:$I$68,MATCH($C199,Pantry!$A$7:$A$68,0))</f>
        <v>8</v>
      </c>
      <c r="L199">
        <f t="shared" si="14"/>
        <v>1</v>
      </c>
      <c r="M199">
        <f t="shared" si="15"/>
        <v>0</v>
      </c>
    </row>
    <row r="200" spans="1:13" x14ac:dyDescent="0.35">
      <c r="A200" t="s">
        <v>94</v>
      </c>
      <c r="B200" t="s">
        <v>95</v>
      </c>
      <c r="C200" t="s">
        <v>231</v>
      </c>
      <c r="D200">
        <v>1.5</v>
      </c>
      <c r="E200" t="s">
        <v>222</v>
      </c>
      <c r="F200">
        <v>4</v>
      </c>
      <c r="G200">
        <f t="shared" si="12"/>
        <v>0.375</v>
      </c>
      <c r="H200">
        <f>SUMIFS(Home!$E$28:$E$39,Home!$B$28:$B$39,$B200)</f>
        <v>0</v>
      </c>
      <c r="I200">
        <f t="shared" si="13"/>
        <v>0</v>
      </c>
      <c r="J200">
        <f>$G200*Home!$D$5</f>
        <v>0.375</v>
      </c>
      <c r="K200">
        <f>INDEX(Pantry!$I$7:$I$68,MATCH($C200,Pantry!$A$7:$A$68,0))</f>
        <v>20</v>
      </c>
      <c r="L200">
        <f t="shared" si="14"/>
        <v>1</v>
      </c>
      <c r="M200">
        <f t="shared" si="15"/>
        <v>0</v>
      </c>
    </row>
    <row r="201" spans="1:13" x14ac:dyDescent="0.35">
      <c r="A201" t="s">
        <v>94</v>
      </c>
      <c r="B201" t="s">
        <v>95</v>
      </c>
      <c r="C201" t="s">
        <v>232</v>
      </c>
      <c r="D201">
        <v>0.75</v>
      </c>
      <c r="E201" t="s">
        <v>222</v>
      </c>
      <c r="F201">
        <v>4</v>
      </c>
      <c r="G201">
        <f t="shared" si="12"/>
        <v>0.1875</v>
      </c>
      <c r="H201">
        <f>SUMIFS(Home!$E$28:$E$39,Home!$B$28:$B$39,$B201)</f>
        <v>0</v>
      </c>
      <c r="I201">
        <f t="shared" si="13"/>
        <v>0</v>
      </c>
      <c r="J201">
        <f>$G201*Home!$D$5</f>
        <v>0.1875</v>
      </c>
      <c r="K201">
        <f>INDEX(Pantry!$I$7:$I$68,MATCH($C201,Pantry!$A$7:$A$68,0))</f>
        <v>15</v>
      </c>
      <c r="L201">
        <f t="shared" si="14"/>
        <v>1</v>
      </c>
      <c r="M201">
        <f t="shared" si="15"/>
        <v>0</v>
      </c>
    </row>
    <row r="202" spans="1:13" x14ac:dyDescent="0.35">
      <c r="A202" t="s">
        <v>94</v>
      </c>
      <c r="B202" t="s">
        <v>95</v>
      </c>
      <c r="C202" t="s">
        <v>233</v>
      </c>
      <c r="D202">
        <v>1.5</v>
      </c>
      <c r="E202" t="s">
        <v>222</v>
      </c>
      <c r="F202">
        <v>4</v>
      </c>
      <c r="G202">
        <f t="shared" si="12"/>
        <v>0.375</v>
      </c>
      <c r="H202">
        <f>SUMIFS(Home!$E$28:$E$39,Home!$B$28:$B$39,$B202)</f>
        <v>0</v>
      </c>
      <c r="I202">
        <f t="shared" si="13"/>
        <v>0</v>
      </c>
      <c r="J202">
        <f>$G202*Home!$D$5</f>
        <v>0.375</v>
      </c>
      <c r="K202">
        <f>INDEX(Pantry!$I$7:$I$68,MATCH($C202,Pantry!$A$7:$A$68,0))</f>
        <v>12</v>
      </c>
      <c r="L202">
        <f t="shared" si="14"/>
        <v>1</v>
      </c>
      <c r="M202">
        <f t="shared" si="15"/>
        <v>0</v>
      </c>
    </row>
    <row r="203" spans="1:13" x14ac:dyDescent="0.35">
      <c r="A203" t="s">
        <v>94</v>
      </c>
      <c r="B203" t="s">
        <v>95</v>
      </c>
      <c r="C203" t="s">
        <v>215</v>
      </c>
      <c r="D203">
        <v>0.5</v>
      </c>
      <c r="E203" t="s">
        <v>211</v>
      </c>
      <c r="F203">
        <v>4</v>
      </c>
      <c r="G203">
        <f t="shared" si="12"/>
        <v>0.125</v>
      </c>
      <c r="H203">
        <f>SUMIFS(Home!$E$28:$E$39,Home!$B$28:$B$39,$B203)</f>
        <v>0</v>
      </c>
      <c r="I203">
        <f t="shared" si="13"/>
        <v>0</v>
      </c>
      <c r="J203">
        <f>$G203*Home!$D$5</f>
        <v>0.125</v>
      </c>
      <c r="K203">
        <f>INDEX(Pantry!$I$7:$I$68,MATCH($C203,Pantry!$A$7:$A$68,0))</f>
        <v>5</v>
      </c>
      <c r="L203">
        <f t="shared" si="14"/>
        <v>1</v>
      </c>
      <c r="M203">
        <f t="shared" si="15"/>
        <v>0</v>
      </c>
    </row>
    <row r="204" spans="1:13" x14ac:dyDescent="0.35">
      <c r="A204" t="s">
        <v>94</v>
      </c>
      <c r="B204" t="s">
        <v>95</v>
      </c>
      <c r="C204" t="s">
        <v>221</v>
      </c>
      <c r="D204">
        <v>1.5</v>
      </c>
      <c r="E204" t="s">
        <v>222</v>
      </c>
      <c r="F204">
        <v>4</v>
      </c>
      <c r="G204">
        <f t="shared" si="12"/>
        <v>0.375</v>
      </c>
      <c r="H204">
        <f>SUMIFS(Home!$E$28:$E$39,Home!$B$28:$B$39,$B204)</f>
        <v>0</v>
      </c>
      <c r="I204">
        <f t="shared" si="13"/>
        <v>0</v>
      </c>
      <c r="J204">
        <f>$G204*Home!$D$5</f>
        <v>0.375</v>
      </c>
      <c r="K204">
        <f>INDEX(Pantry!$I$7:$I$68,MATCH($C204,Pantry!$A$7:$A$68,0))</f>
        <v>50</v>
      </c>
      <c r="L204">
        <f t="shared" si="14"/>
        <v>1</v>
      </c>
      <c r="M204">
        <f t="shared" si="15"/>
        <v>0</v>
      </c>
    </row>
    <row r="205" spans="1:13" x14ac:dyDescent="0.35">
      <c r="A205" t="s">
        <v>94</v>
      </c>
      <c r="B205" t="s">
        <v>95</v>
      </c>
      <c r="C205" t="s">
        <v>219</v>
      </c>
      <c r="D205">
        <v>3</v>
      </c>
      <c r="E205" t="s">
        <v>208</v>
      </c>
      <c r="F205">
        <v>4</v>
      </c>
      <c r="G205">
        <f t="shared" si="12"/>
        <v>0.75</v>
      </c>
      <c r="H205">
        <f>SUMIFS(Home!$E$28:$E$39,Home!$B$28:$B$39,$B205)</f>
        <v>0</v>
      </c>
      <c r="I205">
        <f t="shared" si="13"/>
        <v>0</v>
      </c>
      <c r="J205">
        <f>$G205*Home!$D$5</f>
        <v>0.75</v>
      </c>
      <c r="K205">
        <f>INDEX(Pantry!$I$7:$I$68,MATCH($C205,Pantry!$A$7:$A$68,0))</f>
        <v>10</v>
      </c>
      <c r="L205">
        <f t="shared" si="14"/>
        <v>1</v>
      </c>
      <c r="M205">
        <f t="shared" si="15"/>
        <v>0</v>
      </c>
    </row>
    <row r="206" spans="1:13" x14ac:dyDescent="0.35">
      <c r="A206" t="s">
        <v>94</v>
      </c>
      <c r="B206" t="s">
        <v>95</v>
      </c>
      <c r="C206" t="s">
        <v>218</v>
      </c>
      <c r="D206">
        <v>0.5</v>
      </c>
      <c r="E206" t="s">
        <v>217</v>
      </c>
      <c r="F206">
        <v>4</v>
      </c>
      <c r="G206">
        <f t="shared" si="12"/>
        <v>0.125</v>
      </c>
      <c r="H206">
        <f>SUMIFS(Home!$E$28:$E$39,Home!$B$28:$B$39,$B206)</f>
        <v>0</v>
      </c>
      <c r="I206">
        <f t="shared" si="13"/>
        <v>0</v>
      </c>
      <c r="J206">
        <f>$G206*Home!$D$5</f>
        <v>0.125</v>
      </c>
      <c r="K206">
        <f>INDEX(Pantry!$I$7:$I$68,MATCH($C206,Pantry!$A$7:$A$68,0))</f>
        <v>2</v>
      </c>
      <c r="L206">
        <f t="shared" si="14"/>
        <v>1</v>
      </c>
      <c r="M206">
        <f t="shared" si="15"/>
        <v>0</v>
      </c>
    </row>
    <row r="207" spans="1:13" x14ac:dyDescent="0.35">
      <c r="A207" t="s">
        <v>98</v>
      </c>
      <c r="B207" t="s">
        <v>99</v>
      </c>
      <c r="C207" t="s">
        <v>264</v>
      </c>
      <c r="D207">
        <v>500</v>
      </c>
      <c r="E207" t="s">
        <v>230</v>
      </c>
      <c r="F207">
        <v>4</v>
      </c>
      <c r="G207">
        <f t="shared" si="12"/>
        <v>125</v>
      </c>
      <c r="H207">
        <f>SUMIFS(Home!$E$28:$E$39,Home!$B$28:$B$39,$B207)</f>
        <v>0</v>
      </c>
      <c r="I207">
        <f t="shared" si="13"/>
        <v>0</v>
      </c>
      <c r="J207">
        <f>$G207*Home!$D$5</f>
        <v>125</v>
      </c>
      <c r="K207">
        <f>INDEX(Pantry!$I$7:$I$68,MATCH($C207,Pantry!$A$7:$A$68,0))</f>
        <v>0</v>
      </c>
      <c r="L207">
        <f t="shared" si="14"/>
        <v>0</v>
      </c>
      <c r="M207">
        <f t="shared" si="15"/>
        <v>125</v>
      </c>
    </row>
    <row r="208" spans="1:13" x14ac:dyDescent="0.35">
      <c r="A208" t="s">
        <v>98</v>
      </c>
      <c r="B208" t="s">
        <v>99</v>
      </c>
      <c r="C208" t="s">
        <v>248</v>
      </c>
      <c r="D208">
        <v>0.5</v>
      </c>
      <c r="E208" t="s">
        <v>205</v>
      </c>
      <c r="F208">
        <v>4</v>
      </c>
      <c r="G208">
        <f t="shared" si="12"/>
        <v>0.125</v>
      </c>
      <c r="H208">
        <f>SUMIFS(Home!$E$28:$E$39,Home!$B$28:$B$39,$B208)</f>
        <v>0</v>
      </c>
      <c r="I208">
        <f t="shared" si="13"/>
        <v>0</v>
      </c>
      <c r="J208">
        <f>$G208*Home!$D$5</f>
        <v>0.125</v>
      </c>
      <c r="K208">
        <f>INDEX(Pantry!$I$7:$I$68,MATCH($C208,Pantry!$A$7:$A$68,0))</f>
        <v>1</v>
      </c>
      <c r="L208">
        <f t="shared" si="14"/>
        <v>1</v>
      </c>
      <c r="M208">
        <f t="shared" si="15"/>
        <v>0</v>
      </c>
    </row>
    <row r="209" spans="1:13" x14ac:dyDescent="0.35">
      <c r="A209" t="s">
        <v>98</v>
      </c>
      <c r="B209" t="s">
        <v>99</v>
      </c>
      <c r="C209" t="s">
        <v>207</v>
      </c>
      <c r="D209">
        <v>2</v>
      </c>
      <c r="E209" t="s">
        <v>208</v>
      </c>
      <c r="F209">
        <v>4</v>
      </c>
      <c r="G209">
        <f t="shared" si="12"/>
        <v>0.5</v>
      </c>
      <c r="H209">
        <f>SUMIFS(Home!$E$28:$E$39,Home!$B$28:$B$39,$B209)</f>
        <v>0</v>
      </c>
      <c r="I209">
        <f t="shared" si="13"/>
        <v>0</v>
      </c>
      <c r="J209">
        <f>$G209*Home!$D$5</f>
        <v>0.5</v>
      </c>
      <c r="K209">
        <f>INDEX(Pantry!$I$7:$I$68,MATCH($C209,Pantry!$A$7:$A$68,0))</f>
        <v>6</v>
      </c>
      <c r="L209">
        <f t="shared" si="14"/>
        <v>1</v>
      </c>
      <c r="M209">
        <f t="shared" si="15"/>
        <v>0</v>
      </c>
    </row>
    <row r="210" spans="1:13" x14ac:dyDescent="0.35">
      <c r="A210" t="s">
        <v>98</v>
      </c>
      <c r="B210" t="s">
        <v>99</v>
      </c>
      <c r="C210" t="s">
        <v>209</v>
      </c>
      <c r="D210">
        <v>2</v>
      </c>
      <c r="E210" t="s">
        <v>208</v>
      </c>
      <c r="F210">
        <v>4</v>
      </c>
      <c r="G210">
        <f t="shared" si="12"/>
        <v>0.5</v>
      </c>
      <c r="H210">
        <f>SUMIFS(Home!$E$28:$E$39,Home!$B$28:$B$39,$B210)</f>
        <v>0</v>
      </c>
      <c r="I210">
        <f t="shared" si="13"/>
        <v>0</v>
      </c>
      <c r="J210">
        <f>$G210*Home!$D$5</f>
        <v>0.5</v>
      </c>
      <c r="K210">
        <f>INDEX(Pantry!$I$7:$I$68,MATCH($C210,Pantry!$A$7:$A$68,0))</f>
        <v>4</v>
      </c>
      <c r="L210">
        <f t="shared" si="14"/>
        <v>1</v>
      </c>
      <c r="M210">
        <f t="shared" si="15"/>
        <v>0</v>
      </c>
    </row>
    <row r="211" spans="1:13" x14ac:dyDescent="0.35">
      <c r="A211" t="s">
        <v>98</v>
      </c>
      <c r="B211" t="s">
        <v>99</v>
      </c>
      <c r="C211" t="s">
        <v>212</v>
      </c>
      <c r="D211">
        <v>1.5</v>
      </c>
      <c r="E211" t="s">
        <v>213</v>
      </c>
      <c r="F211">
        <v>4</v>
      </c>
      <c r="G211">
        <f t="shared" si="12"/>
        <v>0.375</v>
      </c>
      <c r="H211">
        <f>SUMIFS(Home!$E$28:$E$39,Home!$B$28:$B$39,$B211)</f>
        <v>0</v>
      </c>
      <c r="I211">
        <f t="shared" si="13"/>
        <v>0</v>
      </c>
      <c r="J211">
        <f>$G211*Home!$D$5</f>
        <v>0.375</v>
      </c>
      <c r="K211">
        <f>INDEX(Pantry!$I$7:$I$68,MATCH($C211,Pantry!$A$7:$A$68,0))</f>
        <v>1</v>
      </c>
      <c r="L211">
        <f t="shared" si="14"/>
        <v>1</v>
      </c>
      <c r="M211">
        <f t="shared" si="15"/>
        <v>0</v>
      </c>
    </row>
    <row r="212" spans="1:13" x14ac:dyDescent="0.35">
      <c r="A212" t="s">
        <v>98</v>
      </c>
      <c r="B212" t="s">
        <v>99</v>
      </c>
      <c r="C212" t="s">
        <v>231</v>
      </c>
      <c r="D212">
        <v>1.5</v>
      </c>
      <c r="E212" t="s">
        <v>222</v>
      </c>
      <c r="F212">
        <v>4</v>
      </c>
      <c r="G212">
        <f t="shared" si="12"/>
        <v>0.375</v>
      </c>
      <c r="H212">
        <f>SUMIFS(Home!$E$28:$E$39,Home!$B$28:$B$39,$B212)</f>
        <v>0</v>
      </c>
      <c r="I212">
        <f t="shared" si="13"/>
        <v>0</v>
      </c>
      <c r="J212">
        <f>$G212*Home!$D$5</f>
        <v>0.375</v>
      </c>
      <c r="K212">
        <f>INDEX(Pantry!$I$7:$I$68,MATCH($C212,Pantry!$A$7:$A$68,0))</f>
        <v>20</v>
      </c>
      <c r="L212">
        <f t="shared" si="14"/>
        <v>1</v>
      </c>
      <c r="M212">
        <f t="shared" si="15"/>
        <v>0</v>
      </c>
    </row>
    <row r="213" spans="1:13" x14ac:dyDescent="0.35">
      <c r="A213" t="s">
        <v>98</v>
      </c>
      <c r="B213" t="s">
        <v>99</v>
      </c>
      <c r="C213" t="s">
        <v>232</v>
      </c>
      <c r="D213">
        <v>0.75</v>
      </c>
      <c r="E213" t="s">
        <v>222</v>
      </c>
      <c r="F213">
        <v>4</v>
      </c>
      <c r="G213">
        <f t="shared" si="12"/>
        <v>0.1875</v>
      </c>
      <c r="H213">
        <f>SUMIFS(Home!$E$28:$E$39,Home!$B$28:$B$39,$B213)</f>
        <v>0</v>
      </c>
      <c r="I213">
        <f t="shared" si="13"/>
        <v>0</v>
      </c>
      <c r="J213">
        <f>$G213*Home!$D$5</f>
        <v>0.1875</v>
      </c>
      <c r="K213">
        <f>INDEX(Pantry!$I$7:$I$68,MATCH($C213,Pantry!$A$7:$A$68,0))</f>
        <v>15</v>
      </c>
      <c r="L213">
        <f t="shared" si="14"/>
        <v>1</v>
      </c>
      <c r="M213">
        <f t="shared" si="15"/>
        <v>0</v>
      </c>
    </row>
    <row r="214" spans="1:13" x14ac:dyDescent="0.35">
      <c r="A214" t="s">
        <v>98</v>
      </c>
      <c r="B214" t="s">
        <v>99</v>
      </c>
      <c r="C214" t="s">
        <v>234</v>
      </c>
      <c r="D214">
        <v>1</v>
      </c>
      <c r="E214" t="s">
        <v>222</v>
      </c>
      <c r="F214">
        <v>4</v>
      </c>
      <c r="G214">
        <f t="shared" si="12"/>
        <v>0.25</v>
      </c>
      <c r="H214">
        <f>SUMIFS(Home!$E$28:$E$39,Home!$B$28:$B$39,$B214)</f>
        <v>0</v>
      </c>
      <c r="I214">
        <f t="shared" si="13"/>
        <v>0</v>
      </c>
      <c r="J214">
        <f>$G214*Home!$D$5</f>
        <v>0.25</v>
      </c>
      <c r="K214">
        <f>INDEX(Pantry!$I$7:$I$68,MATCH($C214,Pantry!$A$7:$A$68,0))</f>
        <v>10</v>
      </c>
      <c r="L214">
        <f t="shared" si="14"/>
        <v>1</v>
      </c>
      <c r="M214">
        <f t="shared" si="15"/>
        <v>0</v>
      </c>
    </row>
    <row r="215" spans="1:13" x14ac:dyDescent="0.35">
      <c r="A215" t="s">
        <v>98</v>
      </c>
      <c r="B215" t="s">
        <v>99</v>
      </c>
      <c r="C215" t="s">
        <v>215</v>
      </c>
      <c r="D215">
        <v>0.75</v>
      </c>
      <c r="E215" t="s">
        <v>211</v>
      </c>
      <c r="F215">
        <v>4</v>
      </c>
      <c r="G215">
        <f t="shared" si="12"/>
        <v>0.1875</v>
      </c>
      <c r="H215">
        <f>SUMIFS(Home!$E$28:$E$39,Home!$B$28:$B$39,$B215)</f>
        <v>0</v>
      </c>
      <c r="I215">
        <f t="shared" si="13"/>
        <v>0</v>
      </c>
      <c r="J215">
        <f>$G215*Home!$D$5</f>
        <v>0.1875</v>
      </c>
      <c r="K215">
        <f>INDEX(Pantry!$I$7:$I$68,MATCH($C215,Pantry!$A$7:$A$68,0))</f>
        <v>5</v>
      </c>
      <c r="L215">
        <f t="shared" si="14"/>
        <v>1</v>
      </c>
      <c r="M215">
        <f t="shared" si="15"/>
        <v>0</v>
      </c>
    </row>
    <row r="216" spans="1:13" x14ac:dyDescent="0.35">
      <c r="A216" t="s">
        <v>98</v>
      </c>
      <c r="B216" t="s">
        <v>99</v>
      </c>
      <c r="C216" t="s">
        <v>221</v>
      </c>
      <c r="D216">
        <v>2</v>
      </c>
      <c r="E216" t="s">
        <v>222</v>
      </c>
      <c r="F216">
        <v>4</v>
      </c>
      <c r="G216">
        <f t="shared" si="12"/>
        <v>0.5</v>
      </c>
      <c r="H216">
        <f>SUMIFS(Home!$E$28:$E$39,Home!$B$28:$B$39,$B216)</f>
        <v>0</v>
      </c>
      <c r="I216">
        <f t="shared" si="13"/>
        <v>0</v>
      </c>
      <c r="J216">
        <f>$G216*Home!$D$5</f>
        <v>0.5</v>
      </c>
      <c r="K216">
        <f>INDEX(Pantry!$I$7:$I$68,MATCH($C216,Pantry!$A$7:$A$68,0))</f>
        <v>50</v>
      </c>
      <c r="L216">
        <f t="shared" si="14"/>
        <v>1</v>
      </c>
      <c r="M216">
        <f t="shared" si="15"/>
        <v>0</v>
      </c>
    </row>
    <row r="217" spans="1:13" x14ac:dyDescent="0.35">
      <c r="A217" t="s">
        <v>98</v>
      </c>
      <c r="B217" t="s">
        <v>99</v>
      </c>
      <c r="C217" t="s">
        <v>219</v>
      </c>
      <c r="D217">
        <v>3</v>
      </c>
      <c r="E217" t="s">
        <v>208</v>
      </c>
      <c r="F217">
        <v>4</v>
      </c>
      <c r="G217">
        <f t="shared" si="12"/>
        <v>0.75</v>
      </c>
      <c r="H217">
        <f>SUMIFS(Home!$E$28:$E$39,Home!$B$28:$B$39,$B217)</f>
        <v>0</v>
      </c>
      <c r="I217">
        <f t="shared" si="13"/>
        <v>0</v>
      </c>
      <c r="J217">
        <f>$G217*Home!$D$5</f>
        <v>0.75</v>
      </c>
      <c r="K217">
        <f>INDEX(Pantry!$I$7:$I$68,MATCH($C217,Pantry!$A$7:$A$68,0))</f>
        <v>10</v>
      </c>
      <c r="L217">
        <f t="shared" si="14"/>
        <v>1</v>
      </c>
      <c r="M217">
        <f t="shared" si="15"/>
        <v>0</v>
      </c>
    </row>
    <row r="218" spans="1:13" x14ac:dyDescent="0.35">
      <c r="A218" t="s">
        <v>98</v>
      </c>
      <c r="B218" t="s">
        <v>99</v>
      </c>
      <c r="C218" t="s">
        <v>218</v>
      </c>
      <c r="D218">
        <v>0.5</v>
      </c>
      <c r="E218" t="s">
        <v>217</v>
      </c>
      <c r="F218">
        <v>4</v>
      </c>
      <c r="G218">
        <f t="shared" si="12"/>
        <v>0.125</v>
      </c>
      <c r="H218">
        <f>SUMIFS(Home!$E$28:$E$39,Home!$B$28:$B$39,$B218)</f>
        <v>0</v>
      </c>
      <c r="I218">
        <f t="shared" si="13"/>
        <v>0</v>
      </c>
      <c r="J218">
        <f>$G218*Home!$D$5</f>
        <v>0.125</v>
      </c>
      <c r="K218">
        <f>INDEX(Pantry!$I$7:$I$68,MATCH($C218,Pantry!$A$7:$A$68,0))</f>
        <v>2</v>
      </c>
      <c r="L218">
        <f t="shared" si="14"/>
        <v>1</v>
      </c>
      <c r="M218">
        <f t="shared" si="15"/>
        <v>0</v>
      </c>
    </row>
    <row r="219" spans="1:13" x14ac:dyDescent="0.35">
      <c r="A219" t="s">
        <v>102</v>
      </c>
      <c r="B219" t="s">
        <v>103</v>
      </c>
      <c r="C219" t="s">
        <v>246</v>
      </c>
      <c r="D219">
        <v>5</v>
      </c>
      <c r="E219" t="s">
        <v>208</v>
      </c>
      <c r="F219">
        <v>4</v>
      </c>
      <c r="G219">
        <f t="shared" si="12"/>
        <v>1.25</v>
      </c>
      <c r="H219">
        <f>SUMIFS(Home!$E$28:$E$39,Home!$B$28:$B$39,$B219)</f>
        <v>0</v>
      </c>
      <c r="I219">
        <f t="shared" si="13"/>
        <v>0</v>
      </c>
      <c r="J219">
        <f>$G219*Home!$D$5</f>
        <v>1.25</v>
      </c>
      <c r="K219">
        <f>INDEX(Pantry!$I$7:$I$68,MATCH($C219,Pantry!$A$7:$A$68,0))</f>
        <v>5</v>
      </c>
      <c r="L219">
        <f t="shared" si="14"/>
        <v>1</v>
      </c>
      <c r="M219">
        <f t="shared" si="15"/>
        <v>0</v>
      </c>
    </row>
    <row r="220" spans="1:13" x14ac:dyDescent="0.35">
      <c r="A220" t="s">
        <v>102</v>
      </c>
      <c r="B220" t="s">
        <v>103</v>
      </c>
      <c r="C220" t="s">
        <v>207</v>
      </c>
      <c r="D220">
        <v>1</v>
      </c>
      <c r="E220" t="s">
        <v>208</v>
      </c>
      <c r="F220">
        <v>4</v>
      </c>
      <c r="G220">
        <f t="shared" si="12"/>
        <v>0.25</v>
      </c>
      <c r="H220">
        <f>SUMIFS(Home!$E$28:$E$39,Home!$B$28:$B$39,$B220)</f>
        <v>0</v>
      </c>
      <c r="I220">
        <f t="shared" si="13"/>
        <v>0</v>
      </c>
      <c r="J220">
        <f>$G220*Home!$D$5</f>
        <v>0.25</v>
      </c>
      <c r="K220">
        <f>INDEX(Pantry!$I$7:$I$68,MATCH($C220,Pantry!$A$7:$A$68,0))</f>
        <v>6</v>
      </c>
      <c r="L220">
        <f t="shared" si="14"/>
        <v>1</v>
      </c>
      <c r="M220">
        <f t="shared" si="15"/>
        <v>0</v>
      </c>
    </row>
    <row r="221" spans="1:13" x14ac:dyDescent="0.35">
      <c r="A221" t="s">
        <v>102</v>
      </c>
      <c r="B221" t="s">
        <v>103</v>
      </c>
      <c r="C221" t="s">
        <v>209</v>
      </c>
      <c r="D221">
        <v>2</v>
      </c>
      <c r="E221" t="s">
        <v>208</v>
      </c>
      <c r="F221">
        <v>4</v>
      </c>
      <c r="G221">
        <f t="shared" si="12"/>
        <v>0.5</v>
      </c>
      <c r="H221">
        <f>SUMIFS(Home!$E$28:$E$39,Home!$B$28:$B$39,$B221)</f>
        <v>0</v>
      </c>
      <c r="I221">
        <f t="shared" si="13"/>
        <v>0</v>
      </c>
      <c r="J221">
        <f>$G221*Home!$D$5</f>
        <v>0.5</v>
      </c>
      <c r="K221">
        <f>INDEX(Pantry!$I$7:$I$68,MATCH($C221,Pantry!$A$7:$A$68,0))</f>
        <v>4</v>
      </c>
      <c r="L221">
        <f t="shared" si="14"/>
        <v>1</v>
      </c>
      <c r="M221">
        <f t="shared" si="15"/>
        <v>0</v>
      </c>
    </row>
    <row r="222" spans="1:13" x14ac:dyDescent="0.35">
      <c r="A222" t="s">
        <v>102</v>
      </c>
      <c r="B222" t="s">
        <v>103</v>
      </c>
      <c r="C222" t="s">
        <v>226</v>
      </c>
      <c r="D222">
        <v>1.5</v>
      </c>
      <c r="E222" t="s">
        <v>222</v>
      </c>
      <c r="F222">
        <v>4</v>
      </c>
      <c r="G222">
        <f t="shared" si="12"/>
        <v>0.375</v>
      </c>
      <c r="H222">
        <f>SUMIFS(Home!$E$28:$E$39,Home!$B$28:$B$39,$B222)</f>
        <v>0</v>
      </c>
      <c r="I222">
        <f t="shared" si="13"/>
        <v>0</v>
      </c>
      <c r="J222">
        <f>$G222*Home!$D$5</f>
        <v>0.375</v>
      </c>
      <c r="K222">
        <f>INDEX(Pantry!$I$7:$I$68,MATCH($C222,Pantry!$A$7:$A$68,0))</f>
        <v>8</v>
      </c>
      <c r="L222">
        <f t="shared" si="14"/>
        <v>1</v>
      </c>
      <c r="M222">
        <f t="shared" si="15"/>
        <v>0</v>
      </c>
    </row>
    <row r="223" spans="1:13" x14ac:dyDescent="0.35">
      <c r="A223" t="s">
        <v>102</v>
      </c>
      <c r="B223" t="s">
        <v>103</v>
      </c>
      <c r="C223" t="s">
        <v>241</v>
      </c>
      <c r="D223">
        <v>2</v>
      </c>
      <c r="E223" t="s">
        <v>242</v>
      </c>
      <c r="F223">
        <v>4</v>
      </c>
      <c r="G223">
        <f t="shared" si="12"/>
        <v>0.5</v>
      </c>
      <c r="H223">
        <f>SUMIFS(Home!$E$28:$E$39,Home!$B$28:$B$39,$B223)</f>
        <v>0</v>
      </c>
      <c r="I223">
        <f t="shared" si="13"/>
        <v>0</v>
      </c>
      <c r="J223">
        <f>$G223*Home!$D$5</f>
        <v>0.5</v>
      </c>
      <c r="K223">
        <f>INDEX(Pantry!$I$7:$I$68,MATCH($C223,Pantry!$A$7:$A$68,0))</f>
        <v>4</v>
      </c>
      <c r="L223">
        <f t="shared" si="14"/>
        <v>1</v>
      </c>
      <c r="M223">
        <f t="shared" si="15"/>
        <v>0</v>
      </c>
    </row>
    <row r="224" spans="1:13" x14ac:dyDescent="0.35">
      <c r="A224" t="s">
        <v>102</v>
      </c>
      <c r="B224" t="s">
        <v>103</v>
      </c>
      <c r="C224" t="s">
        <v>231</v>
      </c>
      <c r="D224">
        <v>1.5</v>
      </c>
      <c r="E224" t="s">
        <v>222</v>
      </c>
      <c r="F224">
        <v>4</v>
      </c>
      <c r="G224">
        <f t="shared" si="12"/>
        <v>0.375</v>
      </c>
      <c r="H224">
        <f>SUMIFS(Home!$E$28:$E$39,Home!$B$28:$B$39,$B224)</f>
        <v>0</v>
      </c>
      <c r="I224">
        <f t="shared" si="13"/>
        <v>0</v>
      </c>
      <c r="J224">
        <f>$G224*Home!$D$5</f>
        <v>0.375</v>
      </c>
      <c r="K224">
        <f>INDEX(Pantry!$I$7:$I$68,MATCH($C224,Pantry!$A$7:$A$68,0))</f>
        <v>20</v>
      </c>
      <c r="L224">
        <f t="shared" si="14"/>
        <v>1</v>
      </c>
      <c r="M224">
        <f t="shared" si="15"/>
        <v>0</v>
      </c>
    </row>
    <row r="225" spans="1:13" x14ac:dyDescent="0.35">
      <c r="A225" t="s">
        <v>102</v>
      </c>
      <c r="B225" t="s">
        <v>103</v>
      </c>
      <c r="C225" t="s">
        <v>232</v>
      </c>
      <c r="D225">
        <v>0.75</v>
      </c>
      <c r="E225" t="s">
        <v>222</v>
      </c>
      <c r="F225">
        <v>4</v>
      </c>
      <c r="G225">
        <f t="shared" si="12"/>
        <v>0.1875</v>
      </c>
      <c r="H225">
        <f>SUMIFS(Home!$E$28:$E$39,Home!$B$28:$B$39,$B225)</f>
        <v>0</v>
      </c>
      <c r="I225">
        <f t="shared" si="13"/>
        <v>0</v>
      </c>
      <c r="J225">
        <f>$G225*Home!$D$5</f>
        <v>0.1875</v>
      </c>
      <c r="K225">
        <f>INDEX(Pantry!$I$7:$I$68,MATCH($C225,Pantry!$A$7:$A$68,0))</f>
        <v>15</v>
      </c>
      <c r="L225">
        <f t="shared" si="14"/>
        <v>1</v>
      </c>
      <c r="M225">
        <f t="shared" si="15"/>
        <v>0</v>
      </c>
    </row>
    <row r="226" spans="1:13" x14ac:dyDescent="0.35">
      <c r="A226" t="s">
        <v>102</v>
      </c>
      <c r="B226" t="s">
        <v>103</v>
      </c>
      <c r="C226" t="s">
        <v>215</v>
      </c>
      <c r="D226">
        <v>0.5</v>
      </c>
      <c r="E226" t="s">
        <v>211</v>
      </c>
      <c r="F226">
        <v>4</v>
      </c>
      <c r="G226">
        <f t="shared" si="12"/>
        <v>0.125</v>
      </c>
      <c r="H226">
        <f>SUMIFS(Home!$E$28:$E$39,Home!$B$28:$B$39,$B226)</f>
        <v>0</v>
      </c>
      <c r="I226">
        <f t="shared" si="13"/>
        <v>0</v>
      </c>
      <c r="J226">
        <f>$G226*Home!$D$5</f>
        <v>0.125</v>
      </c>
      <c r="K226">
        <f>INDEX(Pantry!$I$7:$I$68,MATCH($C226,Pantry!$A$7:$A$68,0))</f>
        <v>5</v>
      </c>
      <c r="L226">
        <f t="shared" si="14"/>
        <v>1</v>
      </c>
      <c r="M226">
        <f t="shared" si="15"/>
        <v>0</v>
      </c>
    </row>
    <row r="227" spans="1:13" x14ac:dyDescent="0.35">
      <c r="A227" t="s">
        <v>102</v>
      </c>
      <c r="B227" t="s">
        <v>103</v>
      </c>
      <c r="C227" t="s">
        <v>221</v>
      </c>
      <c r="D227">
        <v>1.5</v>
      </c>
      <c r="E227" t="s">
        <v>222</v>
      </c>
      <c r="F227">
        <v>4</v>
      </c>
      <c r="G227">
        <f t="shared" si="12"/>
        <v>0.375</v>
      </c>
      <c r="H227">
        <f>SUMIFS(Home!$E$28:$E$39,Home!$B$28:$B$39,$B227)</f>
        <v>0</v>
      </c>
      <c r="I227">
        <f t="shared" si="13"/>
        <v>0</v>
      </c>
      <c r="J227">
        <f>$G227*Home!$D$5</f>
        <v>0.375</v>
      </c>
      <c r="K227">
        <f>INDEX(Pantry!$I$7:$I$68,MATCH($C227,Pantry!$A$7:$A$68,0))</f>
        <v>50</v>
      </c>
      <c r="L227">
        <f t="shared" si="14"/>
        <v>1</v>
      </c>
      <c r="M227">
        <f t="shared" si="15"/>
        <v>0</v>
      </c>
    </row>
    <row r="228" spans="1:13" x14ac:dyDescent="0.35">
      <c r="A228" t="s">
        <v>102</v>
      </c>
      <c r="B228" t="s">
        <v>103</v>
      </c>
      <c r="C228" t="s">
        <v>219</v>
      </c>
      <c r="D228">
        <v>3</v>
      </c>
      <c r="E228" t="s">
        <v>208</v>
      </c>
      <c r="F228">
        <v>4</v>
      </c>
      <c r="G228">
        <f t="shared" si="12"/>
        <v>0.75</v>
      </c>
      <c r="H228">
        <f>SUMIFS(Home!$E$28:$E$39,Home!$B$28:$B$39,$B228)</f>
        <v>0</v>
      </c>
      <c r="I228">
        <f t="shared" si="13"/>
        <v>0</v>
      </c>
      <c r="J228">
        <f>$G228*Home!$D$5</f>
        <v>0.75</v>
      </c>
      <c r="K228">
        <f>INDEX(Pantry!$I$7:$I$68,MATCH($C228,Pantry!$A$7:$A$68,0))</f>
        <v>10</v>
      </c>
      <c r="L228">
        <f t="shared" si="14"/>
        <v>1</v>
      </c>
      <c r="M228">
        <f t="shared" si="15"/>
        <v>0</v>
      </c>
    </row>
    <row r="229" spans="1:13" x14ac:dyDescent="0.35">
      <c r="A229" t="s">
        <v>102</v>
      </c>
      <c r="B229" t="s">
        <v>103</v>
      </c>
      <c r="C229" t="s">
        <v>218</v>
      </c>
      <c r="D229">
        <v>0.5</v>
      </c>
      <c r="E229" t="s">
        <v>217</v>
      </c>
      <c r="F229">
        <v>4</v>
      </c>
      <c r="G229">
        <f t="shared" si="12"/>
        <v>0.125</v>
      </c>
      <c r="H229">
        <f>SUMIFS(Home!$E$28:$E$39,Home!$B$28:$B$39,$B229)</f>
        <v>0</v>
      </c>
      <c r="I229">
        <f t="shared" si="13"/>
        <v>0</v>
      </c>
      <c r="J229">
        <f>$G229*Home!$D$5</f>
        <v>0.125</v>
      </c>
      <c r="K229">
        <f>INDEX(Pantry!$I$7:$I$68,MATCH($C229,Pantry!$A$7:$A$68,0))</f>
        <v>2</v>
      </c>
      <c r="L229">
        <f t="shared" si="14"/>
        <v>1</v>
      </c>
      <c r="M229">
        <f t="shared" si="15"/>
        <v>0</v>
      </c>
    </row>
    <row r="230" spans="1:13" x14ac:dyDescent="0.35">
      <c r="A230" t="s">
        <v>106</v>
      </c>
      <c r="B230" t="s">
        <v>107</v>
      </c>
      <c r="C230" t="s">
        <v>248</v>
      </c>
      <c r="D230">
        <v>0.75</v>
      </c>
      <c r="E230" t="s">
        <v>205</v>
      </c>
      <c r="F230">
        <v>5</v>
      </c>
      <c r="G230">
        <f t="shared" si="12"/>
        <v>0.15</v>
      </c>
      <c r="H230">
        <f>SUMIFS(Home!$E$28:$E$39,Home!$B$28:$B$39,$B230)</f>
        <v>0</v>
      </c>
      <c r="I230">
        <f t="shared" si="13"/>
        <v>0</v>
      </c>
      <c r="J230">
        <f>$G230*Home!$D$5</f>
        <v>0.15</v>
      </c>
      <c r="K230">
        <f>INDEX(Pantry!$I$7:$I$68,MATCH($C230,Pantry!$A$7:$A$68,0))</f>
        <v>1</v>
      </c>
      <c r="L230">
        <f t="shared" si="14"/>
        <v>1</v>
      </c>
      <c r="M230">
        <f t="shared" si="15"/>
        <v>0</v>
      </c>
    </row>
    <row r="231" spans="1:13" x14ac:dyDescent="0.35">
      <c r="A231" t="s">
        <v>106</v>
      </c>
      <c r="B231" t="s">
        <v>107</v>
      </c>
      <c r="C231" t="s">
        <v>246</v>
      </c>
      <c r="D231">
        <v>3</v>
      </c>
      <c r="E231" t="s">
        <v>208</v>
      </c>
      <c r="F231">
        <v>5</v>
      </c>
      <c r="G231">
        <f t="shared" si="12"/>
        <v>0.6</v>
      </c>
      <c r="H231">
        <f>SUMIFS(Home!$E$28:$E$39,Home!$B$28:$B$39,$B231)</f>
        <v>0</v>
      </c>
      <c r="I231">
        <f t="shared" si="13"/>
        <v>0</v>
      </c>
      <c r="J231">
        <f>$G231*Home!$D$5</f>
        <v>0.6</v>
      </c>
      <c r="K231">
        <f>INDEX(Pantry!$I$7:$I$68,MATCH($C231,Pantry!$A$7:$A$68,0))</f>
        <v>5</v>
      </c>
      <c r="L231">
        <f t="shared" si="14"/>
        <v>1</v>
      </c>
      <c r="M231">
        <f t="shared" si="15"/>
        <v>0</v>
      </c>
    </row>
    <row r="232" spans="1:13" x14ac:dyDescent="0.35">
      <c r="A232" t="s">
        <v>106</v>
      </c>
      <c r="B232" t="s">
        <v>107</v>
      </c>
      <c r="C232" t="s">
        <v>207</v>
      </c>
      <c r="D232">
        <v>2</v>
      </c>
      <c r="E232" t="s">
        <v>208</v>
      </c>
      <c r="F232">
        <v>5</v>
      </c>
      <c r="G232">
        <f t="shared" si="12"/>
        <v>0.4</v>
      </c>
      <c r="H232">
        <f>SUMIFS(Home!$E$28:$E$39,Home!$B$28:$B$39,$B232)</f>
        <v>0</v>
      </c>
      <c r="I232">
        <f t="shared" si="13"/>
        <v>0</v>
      </c>
      <c r="J232">
        <f>$G232*Home!$D$5</f>
        <v>0.4</v>
      </c>
      <c r="K232">
        <f>INDEX(Pantry!$I$7:$I$68,MATCH($C232,Pantry!$A$7:$A$68,0))</f>
        <v>6</v>
      </c>
      <c r="L232">
        <f t="shared" si="14"/>
        <v>1</v>
      </c>
      <c r="M232">
        <f t="shared" si="15"/>
        <v>0</v>
      </c>
    </row>
    <row r="233" spans="1:13" x14ac:dyDescent="0.35">
      <c r="A233" t="s">
        <v>106</v>
      </c>
      <c r="B233" t="s">
        <v>107</v>
      </c>
      <c r="C233" t="s">
        <v>209</v>
      </c>
      <c r="D233">
        <v>3</v>
      </c>
      <c r="E233" t="s">
        <v>208</v>
      </c>
      <c r="F233">
        <v>5</v>
      </c>
      <c r="G233">
        <f t="shared" si="12"/>
        <v>0.6</v>
      </c>
      <c r="H233">
        <f>SUMIFS(Home!$E$28:$E$39,Home!$B$28:$B$39,$B233)</f>
        <v>0</v>
      </c>
      <c r="I233">
        <f t="shared" si="13"/>
        <v>0</v>
      </c>
      <c r="J233">
        <f>$G233*Home!$D$5</f>
        <v>0.6</v>
      </c>
      <c r="K233">
        <f>INDEX(Pantry!$I$7:$I$68,MATCH($C233,Pantry!$A$7:$A$68,0))</f>
        <v>4</v>
      </c>
      <c r="L233">
        <f t="shared" si="14"/>
        <v>1</v>
      </c>
      <c r="M233">
        <f t="shared" si="15"/>
        <v>0</v>
      </c>
    </row>
    <row r="234" spans="1:13" x14ac:dyDescent="0.35">
      <c r="A234" t="s">
        <v>106</v>
      </c>
      <c r="B234" t="s">
        <v>107</v>
      </c>
      <c r="C234" t="s">
        <v>210</v>
      </c>
      <c r="D234">
        <v>0.5</v>
      </c>
      <c r="E234" t="s">
        <v>211</v>
      </c>
      <c r="F234">
        <v>5</v>
      </c>
      <c r="G234">
        <f t="shared" si="12"/>
        <v>0.1</v>
      </c>
      <c r="H234">
        <f>SUMIFS(Home!$E$28:$E$39,Home!$B$28:$B$39,$B234)</f>
        <v>0</v>
      </c>
      <c r="I234">
        <f t="shared" si="13"/>
        <v>0</v>
      </c>
      <c r="J234">
        <f>$G234*Home!$D$5</f>
        <v>0.1</v>
      </c>
      <c r="K234">
        <f>INDEX(Pantry!$I$7:$I$68,MATCH($C234,Pantry!$A$7:$A$68,0))</f>
        <v>2</v>
      </c>
      <c r="L234">
        <f t="shared" si="14"/>
        <v>1</v>
      </c>
      <c r="M234">
        <f t="shared" si="15"/>
        <v>0</v>
      </c>
    </row>
    <row r="235" spans="1:13" x14ac:dyDescent="0.35">
      <c r="A235" t="s">
        <v>106</v>
      </c>
      <c r="B235" t="s">
        <v>107</v>
      </c>
      <c r="C235" t="s">
        <v>212</v>
      </c>
      <c r="D235">
        <v>2</v>
      </c>
      <c r="E235" t="s">
        <v>213</v>
      </c>
      <c r="F235">
        <v>5</v>
      </c>
      <c r="G235">
        <f t="shared" si="12"/>
        <v>0.4</v>
      </c>
      <c r="H235">
        <f>SUMIFS(Home!$E$28:$E$39,Home!$B$28:$B$39,$B235)</f>
        <v>0</v>
      </c>
      <c r="I235">
        <f t="shared" si="13"/>
        <v>0</v>
      </c>
      <c r="J235">
        <f>$G235*Home!$D$5</f>
        <v>0.4</v>
      </c>
      <c r="K235">
        <f>INDEX(Pantry!$I$7:$I$68,MATCH($C235,Pantry!$A$7:$A$68,0))</f>
        <v>1</v>
      </c>
      <c r="L235">
        <f t="shared" si="14"/>
        <v>1</v>
      </c>
      <c r="M235">
        <f t="shared" si="15"/>
        <v>0</v>
      </c>
    </row>
    <row r="236" spans="1:13" x14ac:dyDescent="0.35">
      <c r="A236" t="s">
        <v>106</v>
      </c>
      <c r="B236" t="s">
        <v>107</v>
      </c>
      <c r="C236" t="s">
        <v>225</v>
      </c>
      <c r="D236">
        <v>1</v>
      </c>
      <c r="E236" t="s">
        <v>213</v>
      </c>
      <c r="F236">
        <v>5</v>
      </c>
      <c r="G236">
        <f t="shared" si="12"/>
        <v>0.2</v>
      </c>
      <c r="H236">
        <f>SUMIFS(Home!$E$28:$E$39,Home!$B$28:$B$39,$B236)</f>
        <v>0</v>
      </c>
      <c r="I236">
        <f t="shared" si="13"/>
        <v>0</v>
      </c>
      <c r="J236">
        <f>$G236*Home!$D$5</f>
        <v>0.2</v>
      </c>
      <c r="K236">
        <f>INDEX(Pantry!$I$7:$I$68,MATCH($C236,Pantry!$A$7:$A$68,0))</f>
        <v>4</v>
      </c>
      <c r="L236">
        <f t="shared" si="14"/>
        <v>1</v>
      </c>
      <c r="M236">
        <f t="shared" si="15"/>
        <v>0</v>
      </c>
    </row>
    <row r="237" spans="1:13" x14ac:dyDescent="0.35">
      <c r="A237" t="s">
        <v>106</v>
      </c>
      <c r="B237" t="s">
        <v>107</v>
      </c>
      <c r="C237" t="s">
        <v>231</v>
      </c>
      <c r="D237">
        <v>2</v>
      </c>
      <c r="E237" t="s">
        <v>222</v>
      </c>
      <c r="F237">
        <v>5</v>
      </c>
      <c r="G237">
        <f t="shared" si="12"/>
        <v>0.4</v>
      </c>
      <c r="H237">
        <f>SUMIFS(Home!$E$28:$E$39,Home!$B$28:$B$39,$B237)</f>
        <v>0</v>
      </c>
      <c r="I237">
        <f t="shared" si="13"/>
        <v>0</v>
      </c>
      <c r="J237">
        <f>$G237*Home!$D$5</f>
        <v>0.4</v>
      </c>
      <c r="K237">
        <f>INDEX(Pantry!$I$7:$I$68,MATCH($C237,Pantry!$A$7:$A$68,0))</f>
        <v>20</v>
      </c>
      <c r="L237">
        <f t="shared" si="14"/>
        <v>1</v>
      </c>
      <c r="M237">
        <f t="shared" si="15"/>
        <v>0</v>
      </c>
    </row>
    <row r="238" spans="1:13" x14ac:dyDescent="0.35">
      <c r="A238" t="s">
        <v>106</v>
      </c>
      <c r="B238" t="s">
        <v>107</v>
      </c>
      <c r="C238" t="s">
        <v>247</v>
      </c>
      <c r="D238">
        <v>1</v>
      </c>
      <c r="E238" t="s">
        <v>222</v>
      </c>
      <c r="F238">
        <v>5</v>
      </c>
      <c r="G238">
        <f t="shared" si="12"/>
        <v>0.2</v>
      </c>
      <c r="H238">
        <f>SUMIFS(Home!$E$28:$E$39,Home!$B$28:$B$39,$B238)</f>
        <v>0</v>
      </c>
      <c r="I238">
        <f t="shared" si="13"/>
        <v>0</v>
      </c>
      <c r="J238">
        <f>$G238*Home!$D$5</f>
        <v>0.2</v>
      </c>
      <c r="K238">
        <f>INDEX(Pantry!$I$7:$I$68,MATCH($C238,Pantry!$A$7:$A$68,0))</f>
        <v>0</v>
      </c>
      <c r="L238">
        <f t="shared" si="14"/>
        <v>0</v>
      </c>
      <c r="M238">
        <f t="shared" si="15"/>
        <v>0.2</v>
      </c>
    </row>
    <row r="239" spans="1:13" x14ac:dyDescent="0.35">
      <c r="A239" t="s">
        <v>106</v>
      </c>
      <c r="B239" t="s">
        <v>107</v>
      </c>
      <c r="C239" t="s">
        <v>232</v>
      </c>
      <c r="D239">
        <v>0.75</v>
      </c>
      <c r="E239" t="s">
        <v>222</v>
      </c>
      <c r="F239">
        <v>5</v>
      </c>
      <c r="G239">
        <f t="shared" si="12"/>
        <v>0.15</v>
      </c>
      <c r="H239">
        <f>SUMIFS(Home!$E$28:$E$39,Home!$B$28:$B$39,$B239)</f>
        <v>0</v>
      </c>
      <c r="I239">
        <f t="shared" si="13"/>
        <v>0</v>
      </c>
      <c r="J239">
        <f>$G239*Home!$D$5</f>
        <v>0.15</v>
      </c>
      <c r="K239">
        <f>INDEX(Pantry!$I$7:$I$68,MATCH($C239,Pantry!$A$7:$A$68,0))</f>
        <v>15</v>
      </c>
      <c r="L239">
        <f t="shared" si="14"/>
        <v>1</v>
      </c>
      <c r="M239">
        <f t="shared" si="15"/>
        <v>0</v>
      </c>
    </row>
    <row r="240" spans="1:13" x14ac:dyDescent="0.35">
      <c r="A240" t="s">
        <v>106</v>
      </c>
      <c r="B240" t="s">
        <v>107</v>
      </c>
      <c r="C240" t="s">
        <v>233</v>
      </c>
      <c r="D240">
        <v>2</v>
      </c>
      <c r="E240" t="s">
        <v>222</v>
      </c>
      <c r="F240">
        <v>5</v>
      </c>
      <c r="G240">
        <f t="shared" si="12"/>
        <v>0.4</v>
      </c>
      <c r="H240">
        <f>SUMIFS(Home!$E$28:$E$39,Home!$B$28:$B$39,$B240)</f>
        <v>0</v>
      </c>
      <c r="I240">
        <f t="shared" si="13"/>
        <v>0</v>
      </c>
      <c r="J240">
        <f>$G240*Home!$D$5</f>
        <v>0.4</v>
      </c>
      <c r="K240">
        <f>INDEX(Pantry!$I$7:$I$68,MATCH($C240,Pantry!$A$7:$A$68,0))</f>
        <v>12</v>
      </c>
      <c r="L240">
        <f t="shared" si="14"/>
        <v>1</v>
      </c>
      <c r="M240">
        <f t="shared" si="15"/>
        <v>0</v>
      </c>
    </row>
    <row r="241" spans="1:13" x14ac:dyDescent="0.35">
      <c r="A241" t="s">
        <v>106</v>
      </c>
      <c r="B241" t="s">
        <v>107</v>
      </c>
      <c r="C241" t="s">
        <v>265</v>
      </c>
      <c r="D241">
        <v>1</v>
      </c>
      <c r="E241" t="s">
        <v>222</v>
      </c>
      <c r="F241">
        <v>5</v>
      </c>
      <c r="G241">
        <f t="shared" si="12"/>
        <v>0.2</v>
      </c>
      <c r="H241">
        <f>SUMIFS(Home!$E$28:$E$39,Home!$B$28:$B$39,$B241)</f>
        <v>0</v>
      </c>
      <c r="I241">
        <f t="shared" si="13"/>
        <v>0</v>
      </c>
      <c r="J241">
        <f>$G241*Home!$D$5</f>
        <v>0.2</v>
      </c>
      <c r="K241">
        <f>INDEX(Pantry!$I$7:$I$68,MATCH($C241,Pantry!$A$7:$A$68,0))</f>
        <v>2</v>
      </c>
      <c r="L241">
        <f t="shared" si="14"/>
        <v>1</v>
      </c>
      <c r="M241">
        <f t="shared" si="15"/>
        <v>0</v>
      </c>
    </row>
    <row r="242" spans="1:13" x14ac:dyDescent="0.35">
      <c r="A242" t="s">
        <v>106</v>
      </c>
      <c r="B242" t="s">
        <v>107</v>
      </c>
      <c r="C242" t="s">
        <v>266</v>
      </c>
      <c r="D242">
        <v>1</v>
      </c>
      <c r="E242" t="s">
        <v>208</v>
      </c>
      <c r="F242">
        <v>5</v>
      </c>
      <c r="G242">
        <f t="shared" si="12"/>
        <v>0.2</v>
      </c>
      <c r="H242">
        <f>SUMIFS(Home!$E$28:$E$39,Home!$B$28:$B$39,$B242)</f>
        <v>0</v>
      </c>
      <c r="I242">
        <f t="shared" si="13"/>
        <v>0</v>
      </c>
      <c r="J242">
        <f>$G242*Home!$D$5</f>
        <v>0.2</v>
      </c>
      <c r="K242">
        <f>INDEX(Pantry!$I$7:$I$68,MATCH($C242,Pantry!$A$7:$A$68,0))</f>
        <v>2</v>
      </c>
      <c r="L242">
        <f t="shared" si="14"/>
        <v>1</v>
      </c>
      <c r="M242">
        <f t="shared" si="15"/>
        <v>0</v>
      </c>
    </row>
    <row r="243" spans="1:13" x14ac:dyDescent="0.35">
      <c r="A243" t="s">
        <v>106</v>
      </c>
      <c r="B243" t="s">
        <v>107</v>
      </c>
      <c r="C243" t="s">
        <v>215</v>
      </c>
      <c r="D243">
        <v>0.75</v>
      </c>
      <c r="E243" t="s">
        <v>211</v>
      </c>
      <c r="F243">
        <v>5</v>
      </c>
      <c r="G243">
        <f t="shared" si="12"/>
        <v>0.15</v>
      </c>
      <c r="H243">
        <f>SUMIFS(Home!$E$28:$E$39,Home!$B$28:$B$39,$B243)</f>
        <v>0</v>
      </c>
      <c r="I243">
        <f t="shared" si="13"/>
        <v>0</v>
      </c>
      <c r="J243">
        <f>$G243*Home!$D$5</f>
        <v>0.15</v>
      </c>
      <c r="K243">
        <f>INDEX(Pantry!$I$7:$I$68,MATCH($C243,Pantry!$A$7:$A$68,0))</f>
        <v>5</v>
      </c>
      <c r="L243">
        <f t="shared" si="14"/>
        <v>1</v>
      </c>
      <c r="M243">
        <f t="shared" si="15"/>
        <v>0</v>
      </c>
    </row>
    <row r="244" spans="1:13" x14ac:dyDescent="0.35">
      <c r="A244" t="s">
        <v>106</v>
      </c>
      <c r="B244" t="s">
        <v>107</v>
      </c>
      <c r="C244" t="s">
        <v>221</v>
      </c>
      <c r="D244">
        <v>1.5</v>
      </c>
      <c r="E244" t="s">
        <v>222</v>
      </c>
      <c r="F244">
        <v>5</v>
      </c>
      <c r="G244">
        <f t="shared" si="12"/>
        <v>0.3</v>
      </c>
      <c r="H244">
        <f>SUMIFS(Home!$E$28:$E$39,Home!$B$28:$B$39,$B244)</f>
        <v>0</v>
      </c>
      <c r="I244">
        <f t="shared" si="13"/>
        <v>0</v>
      </c>
      <c r="J244">
        <f>$G244*Home!$D$5</f>
        <v>0.3</v>
      </c>
      <c r="K244">
        <f>INDEX(Pantry!$I$7:$I$68,MATCH($C244,Pantry!$A$7:$A$68,0))</f>
        <v>50</v>
      </c>
      <c r="L244">
        <f t="shared" si="14"/>
        <v>1</v>
      </c>
      <c r="M244">
        <f t="shared" si="15"/>
        <v>0</v>
      </c>
    </row>
    <row r="245" spans="1:13" x14ac:dyDescent="0.35">
      <c r="A245" t="s">
        <v>110</v>
      </c>
      <c r="B245" t="s">
        <v>111</v>
      </c>
      <c r="C245" t="s">
        <v>267</v>
      </c>
      <c r="D245">
        <v>1.5</v>
      </c>
      <c r="E245" t="s">
        <v>205</v>
      </c>
      <c r="F245">
        <v>6</v>
      </c>
      <c r="G245">
        <f t="shared" si="12"/>
        <v>0.25</v>
      </c>
      <c r="H245">
        <f>SUMIFS(Home!$E$28:$E$39,Home!$B$28:$B$39,$B245)</f>
        <v>0</v>
      </c>
      <c r="I245">
        <f t="shared" si="13"/>
        <v>0</v>
      </c>
      <c r="J245">
        <f>$G245*Home!$D$5</f>
        <v>0.25</v>
      </c>
      <c r="K245">
        <f>INDEX(Pantry!$I$7:$I$68,MATCH($C245,Pantry!$A$7:$A$68,0))</f>
        <v>0</v>
      </c>
      <c r="L245">
        <f t="shared" si="14"/>
        <v>0</v>
      </c>
      <c r="M245">
        <f t="shared" si="15"/>
        <v>0.25</v>
      </c>
    </row>
    <row r="246" spans="1:13" x14ac:dyDescent="0.35">
      <c r="A246" t="s">
        <v>110</v>
      </c>
      <c r="B246" t="s">
        <v>111</v>
      </c>
      <c r="C246" t="s">
        <v>207</v>
      </c>
      <c r="D246">
        <v>2</v>
      </c>
      <c r="E246" t="s">
        <v>208</v>
      </c>
      <c r="F246">
        <v>6</v>
      </c>
      <c r="G246">
        <f t="shared" si="12"/>
        <v>0.33333333333333331</v>
      </c>
      <c r="H246">
        <f>SUMIFS(Home!$E$28:$E$39,Home!$B$28:$B$39,$B246)</f>
        <v>0</v>
      </c>
      <c r="I246">
        <f t="shared" si="13"/>
        <v>0</v>
      </c>
      <c r="J246">
        <f>$G246*Home!$D$5</f>
        <v>0.33333333333333331</v>
      </c>
      <c r="K246">
        <f>INDEX(Pantry!$I$7:$I$68,MATCH($C246,Pantry!$A$7:$A$68,0))</f>
        <v>6</v>
      </c>
      <c r="L246">
        <f t="shared" si="14"/>
        <v>1</v>
      </c>
      <c r="M246">
        <f t="shared" si="15"/>
        <v>0</v>
      </c>
    </row>
    <row r="247" spans="1:13" x14ac:dyDescent="0.35">
      <c r="A247" t="s">
        <v>110</v>
      </c>
      <c r="B247" t="s">
        <v>111</v>
      </c>
      <c r="C247" t="s">
        <v>212</v>
      </c>
      <c r="D247">
        <v>2</v>
      </c>
      <c r="E247" t="s">
        <v>213</v>
      </c>
      <c r="F247">
        <v>6</v>
      </c>
      <c r="G247">
        <f t="shared" si="12"/>
        <v>0.33333333333333331</v>
      </c>
      <c r="H247">
        <f>SUMIFS(Home!$E$28:$E$39,Home!$B$28:$B$39,$B247)</f>
        <v>0</v>
      </c>
      <c r="I247">
        <f t="shared" si="13"/>
        <v>0</v>
      </c>
      <c r="J247">
        <f>$G247*Home!$D$5</f>
        <v>0.33333333333333331</v>
      </c>
      <c r="K247">
        <f>INDEX(Pantry!$I$7:$I$68,MATCH($C247,Pantry!$A$7:$A$68,0))</f>
        <v>1</v>
      </c>
      <c r="L247">
        <f t="shared" si="14"/>
        <v>1</v>
      </c>
      <c r="M247">
        <f t="shared" si="15"/>
        <v>0</v>
      </c>
    </row>
    <row r="248" spans="1:13" x14ac:dyDescent="0.35">
      <c r="A248" t="s">
        <v>110</v>
      </c>
      <c r="B248" t="s">
        <v>111</v>
      </c>
      <c r="C248" t="s">
        <v>268</v>
      </c>
      <c r="D248">
        <v>4</v>
      </c>
      <c r="E248" t="s">
        <v>213</v>
      </c>
      <c r="F248">
        <v>6</v>
      </c>
      <c r="G248">
        <f t="shared" si="12"/>
        <v>0.66666666666666663</v>
      </c>
      <c r="H248">
        <f>SUMIFS(Home!$E$28:$E$39,Home!$B$28:$B$39,$B248)</f>
        <v>0</v>
      </c>
      <c r="I248">
        <f t="shared" si="13"/>
        <v>0</v>
      </c>
      <c r="J248">
        <f>$G248*Home!$D$5</f>
        <v>0.66666666666666663</v>
      </c>
      <c r="K248">
        <f>INDEX(Pantry!$I$7:$I$68,MATCH($C248,Pantry!$A$7:$A$68,0))</f>
        <v>0</v>
      </c>
      <c r="L248">
        <f t="shared" si="14"/>
        <v>0</v>
      </c>
      <c r="M248">
        <f t="shared" si="15"/>
        <v>0.66666666666666663</v>
      </c>
    </row>
    <row r="249" spans="1:13" x14ac:dyDescent="0.35">
      <c r="A249" t="s">
        <v>110</v>
      </c>
      <c r="B249" t="s">
        <v>111</v>
      </c>
      <c r="C249" t="s">
        <v>269</v>
      </c>
      <c r="D249">
        <v>6</v>
      </c>
      <c r="E249" t="s">
        <v>213</v>
      </c>
      <c r="F249">
        <v>6</v>
      </c>
      <c r="G249">
        <f t="shared" si="12"/>
        <v>1</v>
      </c>
      <c r="H249">
        <f>SUMIFS(Home!$E$28:$E$39,Home!$B$28:$B$39,$B249)</f>
        <v>0</v>
      </c>
      <c r="I249">
        <f t="shared" si="13"/>
        <v>0</v>
      </c>
      <c r="J249">
        <f>$G249*Home!$D$5</f>
        <v>1</v>
      </c>
      <c r="K249">
        <f>INDEX(Pantry!$I$7:$I$68,MATCH($C249,Pantry!$A$7:$A$68,0))</f>
        <v>20</v>
      </c>
      <c r="L249">
        <f t="shared" si="14"/>
        <v>1</v>
      </c>
      <c r="M249">
        <f t="shared" si="15"/>
        <v>0</v>
      </c>
    </row>
    <row r="250" spans="1:13" x14ac:dyDescent="0.35">
      <c r="A250" t="s">
        <v>110</v>
      </c>
      <c r="B250" t="s">
        <v>111</v>
      </c>
      <c r="C250" t="s">
        <v>270</v>
      </c>
      <c r="D250">
        <v>2</v>
      </c>
      <c r="E250" t="s">
        <v>213</v>
      </c>
      <c r="F250">
        <v>6</v>
      </c>
      <c r="G250">
        <f t="shared" si="12"/>
        <v>0.33333333333333331</v>
      </c>
      <c r="H250">
        <f>SUMIFS(Home!$E$28:$E$39,Home!$B$28:$B$39,$B250)</f>
        <v>0</v>
      </c>
      <c r="I250">
        <f t="shared" si="13"/>
        <v>0</v>
      </c>
      <c r="J250">
        <f>$G250*Home!$D$5</f>
        <v>0.33333333333333331</v>
      </c>
      <c r="K250">
        <f>INDEX(Pantry!$I$7:$I$68,MATCH($C250,Pantry!$A$7:$A$68,0))</f>
        <v>6</v>
      </c>
      <c r="L250">
        <f t="shared" si="14"/>
        <v>1</v>
      </c>
      <c r="M250">
        <f t="shared" si="15"/>
        <v>0</v>
      </c>
    </row>
    <row r="251" spans="1:13" x14ac:dyDescent="0.35">
      <c r="A251" t="s">
        <v>110</v>
      </c>
      <c r="B251" t="s">
        <v>111</v>
      </c>
      <c r="C251" t="s">
        <v>239</v>
      </c>
      <c r="D251">
        <v>8</v>
      </c>
      <c r="E251" t="s">
        <v>213</v>
      </c>
      <c r="F251">
        <v>6</v>
      </c>
      <c r="G251">
        <f t="shared" si="12"/>
        <v>1.3333333333333333</v>
      </c>
      <c r="H251">
        <f>SUMIFS(Home!$E$28:$E$39,Home!$B$28:$B$39,$B251)</f>
        <v>0</v>
      </c>
      <c r="I251">
        <f t="shared" si="13"/>
        <v>0</v>
      </c>
      <c r="J251">
        <f>$G251*Home!$D$5</f>
        <v>1.3333333333333333</v>
      </c>
      <c r="K251">
        <f>INDEX(Pantry!$I$7:$I$68,MATCH($C251,Pantry!$A$7:$A$68,0))</f>
        <v>10</v>
      </c>
      <c r="L251">
        <f t="shared" si="14"/>
        <v>1</v>
      </c>
      <c r="M251">
        <f t="shared" si="15"/>
        <v>0</v>
      </c>
    </row>
    <row r="252" spans="1:13" x14ac:dyDescent="0.35">
      <c r="A252" t="s">
        <v>110</v>
      </c>
      <c r="B252" t="s">
        <v>111</v>
      </c>
      <c r="C252" t="s">
        <v>221</v>
      </c>
      <c r="D252">
        <v>2</v>
      </c>
      <c r="E252" t="s">
        <v>222</v>
      </c>
      <c r="F252">
        <v>6</v>
      </c>
      <c r="G252">
        <f t="shared" si="12"/>
        <v>0.33333333333333331</v>
      </c>
      <c r="H252">
        <f>SUMIFS(Home!$E$28:$E$39,Home!$B$28:$B$39,$B252)</f>
        <v>0</v>
      </c>
      <c r="I252">
        <f t="shared" si="13"/>
        <v>0</v>
      </c>
      <c r="J252">
        <f>$G252*Home!$D$5</f>
        <v>0.33333333333333331</v>
      </c>
      <c r="K252">
        <f>INDEX(Pantry!$I$7:$I$68,MATCH($C252,Pantry!$A$7:$A$68,0))</f>
        <v>50</v>
      </c>
      <c r="L252">
        <f t="shared" si="14"/>
        <v>1</v>
      </c>
      <c r="M252">
        <f t="shared" si="15"/>
        <v>0</v>
      </c>
    </row>
    <row r="253" spans="1:13" x14ac:dyDescent="0.35">
      <c r="A253" t="s">
        <v>110</v>
      </c>
      <c r="B253" t="s">
        <v>111</v>
      </c>
      <c r="C253" t="s">
        <v>235</v>
      </c>
      <c r="D253">
        <v>3</v>
      </c>
      <c r="E253" t="s">
        <v>236</v>
      </c>
      <c r="F253">
        <v>6</v>
      </c>
      <c r="G253">
        <f t="shared" si="12"/>
        <v>0.5</v>
      </c>
      <c r="H253">
        <f>SUMIFS(Home!$E$28:$E$39,Home!$B$28:$B$39,$B253)</f>
        <v>0</v>
      </c>
      <c r="I253">
        <f t="shared" si="13"/>
        <v>0</v>
      </c>
      <c r="J253">
        <f>$G253*Home!$D$5</f>
        <v>0.5</v>
      </c>
      <c r="K253">
        <f>INDEX(Pantry!$I$7:$I$68,MATCH($C253,Pantry!$A$7:$A$68,0))</f>
        <v>3</v>
      </c>
      <c r="L253">
        <f t="shared" si="14"/>
        <v>1</v>
      </c>
      <c r="M253">
        <f t="shared" si="15"/>
        <v>0</v>
      </c>
    </row>
    <row r="254" spans="1:13" x14ac:dyDescent="0.35">
      <c r="A254" t="s">
        <v>110</v>
      </c>
      <c r="B254" t="s">
        <v>111</v>
      </c>
      <c r="C254" t="s">
        <v>219</v>
      </c>
      <c r="D254">
        <v>4</v>
      </c>
      <c r="E254" t="s">
        <v>208</v>
      </c>
      <c r="F254">
        <v>6</v>
      </c>
      <c r="G254">
        <f t="shared" si="12"/>
        <v>0.66666666666666663</v>
      </c>
      <c r="H254">
        <f>SUMIFS(Home!$E$28:$E$39,Home!$B$28:$B$39,$B254)</f>
        <v>0</v>
      </c>
      <c r="I254">
        <f t="shared" si="13"/>
        <v>0</v>
      </c>
      <c r="J254">
        <f>$G254*Home!$D$5</f>
        <v>0.66666666666666663</v>
      </c>
      <c r="K254">
        <f>INDEX(Pantry!$I$7:$I$68,MATCH($C254,Pantry!$A$7:$A$68,0))</f>
        <v>10</v>
      </c>
      <c r="L254">
        <f t="shared" si="14"/>
        <v>1</v>
      </c>
      <c r="M254">
        <f t="shared" si="15"/>
        <v>0</v>
      </c>
    </row>
    <row r="255" spans="1:13" x14ac:dyDescent="0.35">
      <c r="A255" t="s">
        <v>110</v>
      </c>
      <c r="B255" t="s">
        <v>111</v>
      </c>
      <c r="C255" t="s">
        <v>220</v>
      </c>
      <c r="D255">
        <v>2</v>
      </c>
      <c r="E255" t="s">
        <v>208</v>
      </c>
      <c r="F255">
        <v>6</v>
      </c>
      <c r="G255">
        <f t="shared" si="12"/>
        <v>0.33333333333333331</v>
      </c>
      <c r="H255">
        <f>SUMIFS(Home!$E$28:$E$39,Home!$B$28:$B$39,$B255)</f>
        <v>0</v>
      </c>
      <c r="I255">
        <f t="shared" si="13"/>
        <v>0</v>
      </c>
      <c r="J255">
        <f>$G255*Home!$D$5</f>
        <v>0.33333333333333331</v>
      </c>
      <c r="K255">
        <f>INDEX(Pantry!$I$7:$I$68,MATCH($C255,Pantry!$A$7:$A$68,0))</f>
        <v>1</v>
      </c>
      <c r="L255">
        <f t="shared" si="14"/>
        <v>1</v>
      </c>
      <c r="M255">
        <f t="shared" si="15"/>
        <v>0</v>
      </c>
    </row>
    <row r="256" spans="1:13" x14ac:dyDescent="0.35">
      <c r="A256" t="s">
        <v>110</v>
      </c>
      <c r="B256" t="s">
        <v>111</v>
      </c>
      <c r="C256" t="s">
        <v>218</v>
      </c>
      <c r="D256">
        <v>0.5</v>
      </c>
      <c r="E256" t="s">
        <v>217</v>
      </c>
      <c r="F256">
        <v>6</v>
      </c>
      <c r="G256">
        <f t="shared" si="12"/>
        <v>8.3333333333333329E-2</v>
      </c>
      <c r="H256">
        <f>SUMIFS(Home!$E$28:$E$39,Home!$B$28:$B$39,$B256)</f>
        <v>0</v>
      </c>
      <c r="I256">
        <f t="shared" si="13"/>
        <v>0</v>
      </c>
      <c r="J256">
        <f>$G256*Home!$D$5</f>
        <v>8.3333333333333329E-2</v>
      </c>
      <c r="K256">
        <f>INDEX(Pantry!$I$7:$I$68,MATCH($C256,Pantry!$A$7:$A$68,0))</f>
        <v>2</v>
      </c>
      <c r="L256">
        <f t="shared" si="14"/>
        <v>1</v>
      </c>
      <c r="M256">
        <f t="shared" si="15"/>
        <v>0</v>
      </c>
    </row>
    <row r="257" spans="1:13" x14ac:dyDescent="0.35">
      <c r="A257" t="s">
        <v>114</v>
      </c>
      <c r="B257" t="s">
        <v>115</v>
      </c>
      <c r="C257" t="s">
        <v>206</v>
      </c>
      <c r="D257">
        <v>0.5</v>
      </c>
      <c r="E257" t="s">
        <v>205</v>
      </c>
      <c r="F257">
        <v>4</v>
      </c>
      <c r="G257">
        <f t="shared" si="12"/>
        <v>0.125</v>
      </c>
      <c r="H257">
        <f>SUMIFS(Home!$E$28:$E$39,Home!$B$28:$B$39,$B257)</f>
        <v>0</v>
      </c>
      <c r="I257">
        <f t="shared" si="13"/>
        <v>0</v>
      </c>
      <c r="J257">
        <f>$G257*Home!$D$5</f>
        <v>0.125</v>
      </c>
      <c r="K257">
        <f>INDEX(Pantry!$I$7:$I$68,MATCH($C257,Pantry!$A$7:$A$68,0))</f>
        <v>3</v>
      </c>
      <c r="L257">
        <f t="shared" si="14"/>
        <v>1</v>
      </c>
      <c r="M257">
        <f t="shared" si="15"/>
        <v>0</v>
      </c>
    </row>
    <row r="258" spans="1:13" x14ac:dyDescent="0.35">
      <c r="A258" t="s">
        <v>114</v>
      </c>
      <c r="B258" t="s">
        <v>115</v>
      </c>
      <c r="C258" t="s">
        <v>271</v>
      </c>
      <c r="D258">
        <v>250</v>
      </c>
      <c r="E258" t="s">
        <v>230</v>
      </c>
      <c r="F258">
        <v>4</v>
      </c>
      <c r="G258">
        <f t="shared" si="12"/>
        <v>62.5</v>
      </c>
      <c r="H258">
        <f>SUMIFS(Home!$E$28:$E$39,Home!$B$28:$B$39,$B258)</f>
        <v>0</v>
      </c>
      <c r="I258">
        <f t="shared" si="13"/>
        <v>0</v>
      </c>
      <c r="J258">
        <f>$G258*Home!$D$5</f>
        <v>62.5</v>
      </c>
      <c r="K258">
        <f>INDEX(Pantry!$I$7:$I$68,MATCH($C258,Pantry!$A$7:$A$68,0))</f>
        <v>300</v>
      </c>
      <c r="L258">
        <f t="shared" si="14"/>
        <v>1</v>
      </c>
      <c r="M258">
        <f t="shared" si="15"/>
        <v>0</v>
      </c>
    </row>
    <row r="259" spans="1:13" x14ac:dyDescent="0.35">
      <c r="A259" t="s">
        <v>114</v>
      </c>
      <c r="B259" t="s">
        <v>115</v>
      </c>
      <c r="C259" t="s">
        <v>207</v>
      </c>
      <c r="D259">
        <v>1</v>
      </c>
      <c r="E259" t="s">
        <v>208</v>
      </c>
      <c r="F259">
        <v>4</v>
      </c>
      <c r="G259">
        <f t="shared" ref="G259:G278" si="16">$D259/$F259</f>
        <v>0.25</v>
      </c>
      <c r="H259">
        <f>SUMIFS(Home!$E$28:$E$39,Home!$B$28:$B$39,$B259)</f>
        <v>0</v>
      </c>
      <c r="I259">
        <f t="shared" ref="I259:I278" si="17">$G259*$H259</f>
        <v>0</v>
      </c>
      <c r="J259">
        <f>$G259*Home!$D$5</f>
        <v>0.25</v>
      </c>
      <c r="K259">
        <f>INDEX(Pantry!$I$7:$I$68,MATCH($C259,Pantry!$A$7:$A$68,0))</f>
        <v>6</v>
      </c>
      <c r="L259">
        <f t="shared" ref="L259:L278" si="18">IF($K259&gt;=$J259-0.0001,1,0)</f>
        <v>1</v>
      </c>
      <c r="M259">
        <f t="shared" ref="M259:M278" si="19">MAX(0,$J259-$K259)</f>
        <v>0</v>
      </c>
    </row>
    <row r="260" spans="1:13" x14ac:dyDescent="0.35">
      <c r="A260" t="s">
        <v>114</v>
      </c>
      <c r="B260" t="s">
        <v>115</v>
      </c>
      <c r="C260" t="s">
        <v>225</v>
      </c>
      <c r="D260">
        <v>1</v>
      </c>
      <c r="E260" t="s">
        <v>213</v>
      </c>
      <c r="F260">
        <v>4</v>
      </c>
      <c r="G260">
        <f t="shared" si="16"/>
        <v>0.25</v>
      </c>
      <c r="H260">
        <f>SUMIFS(Home!$E$28:$E$39,Home!$B$28:$B$39,$B260)</f>
        <v>0</v>
      </c>
      <c r="I260">
        <f t="shared" si="17"/>
        <v>0</v>
      </c>
      <c r="J260">
        <f>$G260*Home!$D$5</f>
        <v>0.25</v>
      </c>
      <c r="K260">
        <f>INDEX(Pantry!$I$7:$I$68,MATCH($C260,Pantry!$A$7:$A$68,0))</f>
        <v>4</v>
      </c>
      <c r="L260">
        <f t="shared" si="18"/>
        <v>1</v>
      </c>
      <c r="M260">
        <f t="shared" si="19"/>
        <v>0</v>
      </c>
    </row>
    <row r="261" spans="1:13" x14ac:dyDescent="0.35">
      <c r="A261" t="s">
        <v>114</v>
      </c>
      <c r="B261" t="s">
        <v>115</v>
      </c>
      <c r="C261" t="s">
        <v>212</v>
      </c>
      <c r="D261">
        <v>1</v>
      </c>
      <c r="E261" t="s">
        <v>213</v>
      </c>
      <c r="F261">
        <v>4</v>
      </c>
      <c r="G261">
        <f t="shared" si="16"/>
        <v>0.25</v>
      </c>
      <c r="H261">
        <f>SUMIFS(Home!$E$28:$E$39,Home!$B$28:$B$39,$B261)</f>
        <v>0</v>
      </c>
      <c r="I261">
        <f t="shared" si="17"/>
        <v>0</v>
      </c>
      <c r="J261">
        <f>$G261*Home!$D$5</f>
        <v>0.25</v>
      </c>
      <c r="K261">
        <f>INDEX(Pantry!$I$7:$I$68,MATCH($C261,Pantry!$A$7:$A$68,0))</f>
        <v>1</v>
      </c>
      <c r="L261">
        <f t="shared" si="18"/>
        <v>1</v>
      </c>
      <c r="M261">
        <f t="shared" si="19"/>
        <v>0</v>
      </c>
    </row>
    <row r="262" spans="1:13" x14ac:dyDescent="0.35">
      <c r="A262" t="s">
        <v>114</v>
      </c>
      <c r="B262" t="s">
        <v>115</v>
      </c>
      <c r="C262" t="s">
        <v>232</v>
      </c>
      <c r="D262">
        <v>0.75</v>
      </c>
      <c r="E262" t="s">
        <v>222</v>
      </c>
      <c r="F262">
        <v>4</v>
      </c>
      <c r="G262">
        <f t="shared" si="16"/>
        <v>0.1875</v>
      </c>
      <c r="H262">
        <f>SUMIFS(Home!$E$28:$E$39,Home!$B$28:$B$39,$B262)</f>
        <v>0</v>
      </c>
      <c r="I262">
        <f t="shared" si="17"/>
        <v>0</v>
      </c>
      <c r="J262">
        <f>$G262*Home!$D$5</f>
        <v>0.1875</v>
      </c>
      <c r="K262">
        <f>INDEX(Pantry!$I$7:$I$68,MATCH($C262,Pantry!$A$7:$A$68,0))</f>
        <v>15</v>
      </c>
      <c r="L262">
        <f t="shared" si="18"/>
        <v>1</v>
      </c>
      <c r="M262">
        <f t="shared" si="19"/>
        <v>0</v>
      </c>
    </row>
    <row r="263" spans="1:13" x14ac:dyDescent="0.35">
      <c r="A263" t="s">
        <v>114</v>
      </c>
      <c r="B263" t="s">
        <v>115</v>
      </c>
      <c r="C263" t="s">
        <v>231</v>
      </c>
      <c r="D263">
        <v>1</v>
      </c>
      <c r="E263" t="s">
        <v>222</v>
      </c>
      <c r="F263">
        <v>4</v>
      </c>
      <c r="G263">
        <f t="shared" si="16"/>
        <v>0.25</v>
      </c>
      <c r="H263">
        <f>SUMIFS(Home!$E$28:$E$39,Home!$B$28:$B$39,$B263)</f>
        <v>0</v>
      </c>
      <c r="I263">
        <f t="shared" si="17"/>
        <v>0</v>
      </c>
      <c r="J263">
        <f>$G263*Home!$D$5</f>
        <v>0.25</v>
      </c>
      <c r="K263">
        <f>INDEX(Pantry!$I$7:$I$68,MATCH($C263,Pantry!$A$7:$A$68,0))</f>
        <v>20</v>
      </c>
      <c r="L263">
        <f t="shared" si="18"/>
        <v>1</v>
      </c>
      <c r="M263">
        <f t="shared" si="19"/>
        <v>0</v>
      </c>
    </row>
    <row r="264" spans="1:13" x14ac:dyDescent="0.35">
      <c r="A264" t="s">
        <v>114</v>
      </c>
      <c r="B264" t="s">
        <v>115</v>
      </c>
      <c r="C264" t="s">
        <v>226</v>
      </c>
      <c r="D264">
        <v>1.5</v>
      </c>
      <c r="E264" t="s">
        <v>222</v>
      </c>
      <c r="F264">
        <v>4</v>
      </c>
      <c r="G264">
        <f t="shared" si="16"/>
        <v>0.375</v>
      </c>
      <c r="H264">
        <f>SUMIFS(Home!$E$28:$E$39,Home!$B$28:$B$39,$B264)</f>
        <v>0</v>
      </c>
      <c r="I264">
        <f t="shared" si="17"/>
        <v>0</v>
      </c>
      <c r="J264">
        <f>$G264*Home!$D$5</f>
        <v>0.375</v>
      </c>
      <c r="K264">
        <f>INDEX(Pantry!$I$7:$I$68,MATCH($C264,Pantry!$A$7:$A$68,0))</f>
        <v>8</v>
      </c>
      <c r="L264">
        <f t="shared" si="18"/>
        <v>1</v>
      </c>
      <c r="M264">
        <f t="shared" si="19"/>
        <v>0</v>
      </c>
    </row>
    <row r="265" spans="1:13" x14ac:dyDescent="0.35">
      <c r="A265" t="s">
        <v>114</v>
      </c>
      <c r="B265" t="s">
        <v>115</v>
      </c>
      <c r="C265" t="s">
        <v>257</v>
      </c>
      <c r="D265">
        <v>2</v>
      </c>
      <c r="E265" t="s">
        <v>208</v>
      </c>
      <c r="F265">
        <v>4</v>
      </c>
      <c r="G265">
        <f t="shared" si="16"/>
        <v>0.5</v>
      </c>
      <c r="H265">
        <f>SUMIFS(Home!$E$28:$E$39,Home!$B$28:$B$39,$B265)</f>
        <v>0</v>
      </c>
      <c r="I265">
        <f t="shared" si="17"/>
        <v>0</v>
      </c>
      <c r="J265">
        <f>$G265*Home!$D$5</f>
        <v>0.5</v>
      </c>
      <c r="K265">
        <f>INDEX(Pantry!$I$7:$I$68,MATCH($C265,Pantry!$A$7:$A$68,0))</f>
        <v>0</v>
      </c>
      <c r="L265">
        <f t="shared" si="18"/>
        <v>0</v>
      </c>
      <c r="M265">
        <f t="shared" si="19"/>
        <v>0.5</v>
      </c>
    </row>
    <row r="266" spans="1:13" x14ac:dyDescent="0.35">
      <c r="A266" t="s">
        <v>114</v>
      </c>
      <c r="B266" t="s">
        <v>115</v>
      </c>
      <c r="C266" t="s">
        <v>215</v>
      </c>
      <c r="D266">
        <v>0.5</v>
      </c>
      <c r="E266" t="s">
        <v>211</v>
      </c>
      <c r="F266">
        <v>4</v>
      </c>
      <c r="G266">
        <f t="shared" si="16"/>
        <v>0.125</v>
      </c>
      <c r="H266">
        <f>SUMIFS(Home!$E$28:$E$39,Home!$B$28:$B$39,$B266)</f>
        <v>0</v>
      </c>
      <c r="I266">
        <f t="shared" si="17"/>
        <v>0</v>
      </c>
      <c r="J266">
        <f>$G266*Home!$D$5</f>
        <v>0.125</v>
      </c>
      <c r="K266">
        <f>INDEX(Pantry!$I$7:$I$68,MATCH($C266,Pantry!$A$7:$A$68,0))</f>
        <v>5</v>
      </c>
      <c r="L266">
        <f t="shared" si="18"/>
        <v>1</v>
      </c>
      <c r="M266">
        <f t="shared" si="19"/>
        <v>0</v>
      </c>
    </row>
    <row r="267" spans="1:13" x14ac:dyDescent="0.35">
      <c r="A267" t="s">
        <v>114</v>
      </c>
      <c r="B267" t="s">
        <v>115</v>
      </c>
      <c r="C267" t="s">
        <v>221</v>
      </c>
      <c r="D267">
        <v>1.5</v>
      </c>
      <c r="E267" t="s">
        <v>222</v>
      </c>
      <c r="F267">
        <v>4</v>
      </c>
      <c r="G267">
        <f t="shared" si="16"/>
        <v>0.375</v>
      </c>
      <c r="H267">
        <f>SUMIFS(Home!$E$28:$E$39,Home!$B$28:$B$39,$B267)</f>
        <v>0</v>
      </c>
      <c r="I267">
        <f t="shared" si="17"/>
        <v>0</v>
      </c>
      <c r="J267">
        <f>$G267*Home!$D$5</f>
        <v>0.375</v>
      </c>
      <c r="K267">
        <f>INDEX(Pantry!$I$7:$I$68,MATCH($C267,Pantry!$A$7:$A$68,0))</f>
        <v>50</v>
      </c>
      <c r="L267">
        <f t="shared" si="18"/>
        <v>1</v>
      </c>
      <c r="M267">
        <f t="shared" si="19"/>
        <v>0</v>
      </c>
    </row>
    <row r="268" spans="1:13" x14ac:dyDescent="0.35">
      <c r="A268" t="s">
        <v>114</v>
      </c>
      <c r="B268" t="s">
        <v>115</v>
      </c>
      <c r="C268" t="s">
        <v>219</v>
      </c>
      <c r="D268">
        <v>2</v>
      </c>
      <c r="E268" t="s">
        <v>208</v>
      </c>
      <c r="F268">
        <v>4</v>
      </c>
      <c r="G268">
        <f t="shared" si="16"/>
        <v>0.5</v>
      </c>
      <c r="H268">
        <f>SUMIFS(Home!$E$28:$E$39,Home!$B$28:$B$39,$B268)</f>
        <v>0</v>
      </c>
      <c r="I268">
        <f t="shared" si="17"/>
        <v>0</v>
      </c>
      <c r="J268">
        <f>$G268*Home!$D$5</f>
        <v>0.5</v>
      </c>
      <c r="K268">
        <f>INDEX(Pantry!$I$7:$I$68,MATCH($C268,Pantry!$A$7:$A$68,0))</f>
        <v>10</v>
      </c>
      <c r="L268">
        <f t="shared" si="18"/>
        <v>1</v>
      </c>
      <c r="M268">
        <f t="shared" si="19"/>
        <v>0</v>
      </c>
    </row>
    <row r="269" spans="1:13" x14ac:dyDescent="0.35">
      <c r="A269" t="s">
        <v>118</v>
      </c>
      <c r="B269" t="s">
        <v>119</v>
      </c>
      <c r="C269" t="s">
        <v>272</v>
      </c>
      <c r="D269">
        <v>3</v>
      </c>
      <c r="E269" t="s">
        <v>217</v>
      </c>
      <c r="F269">
        <v>5</v>
      </c>
      <c r="G269">
        <f t="shared" si="16"/>
        <v>0.6</v>
      </c>
      <c r="H269">
        <f>SUMIFS(Home!$E$28:$E$39,Home!$B$28:$B$39,$B269)</f>
        <v>0</v>
      </c>
      <c r="I269">
        <f t="shared" si="17"/>
        <v>0</v>
      </c>
      <c r="J269">
        <f>$G269*Home!$D$5</f>
        <v>0.6</v>
      </c>
      <c r="K269">
        <f>INDEX(Pantry!$I$7:$I$68,MATCH($C269,Pantry!$A$7:$A$68,0))</f>
        <v>0</v>
      </c>
      <c r="L269">
        <f t="shared" si="18"/>
        <v>0</v>
      </c>
      <c r="M269">
        <f t="shared" si="19"/>
        <v>0.6</v>
      </c>
    </row>
    <row r="270" spans="1:13" x14ac:dyDescent="0.35">
      <c r="A270" t="s">
        <v>118</v>
      </c>
      <c r="B270" t="s">
        <v>119</v>
      </c>
      <c r="C270" t="s">
        <v>273</v>
      </c>
      <c r="D270">
        <v>2</v>
      </c>
      <c r="E270" t="s">
        <v>217</v>
      </c>
      <c r="F270">
        <v>5</v>
      </c>
      <c r="G270">
        <f t="shared" si="16"/>
        <v>0.4</v>
      </c>
      <c r="H270">
        <f>SUMIFS(Home!$E$28:$E$39,Home!$B$28:$B$39,$B270)</f>
        <v>0</v>
      </c>
      <c r="I270">
        <f t="shared" si="17"/>
        <v>0</v>
      </c>
      <c r="J270">
        <f>$G270*Home!$D$5</f>
        <v>0.4</v>
      </c>
      <c r="K270">
        <f>INDEX(Pantry!$I$7:$I$68,MATCH($C270,Pantry!$A$7:$A$68,0))</f>
        <v>1</v>
      </c>
      <c r="L270">
        <f t="shared" si="18"/>
        <v>1</v>
      </c>
      <c r="M270">
        <f t="shared" si="19"/>
        <v>0</v>
      </c>
    </row>
    <row r="271" spans="1:13" x14ac:dyDescent="0.35">
      <c r="A271" t="s">
        <v>118</v>
      </c>
      <c r="B271" t="s">
        <v>119</v>
      </c>
      <c r="C271" t="s">
        <v>219</v>
      </c>
      <c r="D271">
        <v>4</v>
      </c>
      <c r="E271" t="s">
        <v>208</v>
      </c>
      <c r="F271">
        <v>5</v>
      </c>
      <c r="G271">
        <f t="shared" si="16"/>
        <v>0.8</v>
      </c>
      <c r="H271">
        <f>SUMIFS(Home!$E$28:$E$39,Home!$B$28:$B$39,$B271)</f>
        <v>0</v>
      </c>
      <c r="I271">
        <f t="shared" si="17"/>
        <v>0</v>
      </c>
      <c r="J271">
        <f>$G271*Home!$D$5</f>
        <v>0.8</v>
      </c>
      <c r="K271">
        <f>INDEX(Pantry!$I$7:$I$68,MATCH($C271,Pantry!$A$7:$A$68,0))</f>
        <v>10</v>
      </c>
      <c r="L271">
        <f t="shared" si="18"/>
        <v>1</v>
      </c>
      <c r="M271">
        <f t="shared" si="19"/>
        <v>0</v>
      </c>
    </row>
    <row r="272" spans="1:13" x14ac:dyDescent="0.35">
      <c r="A272" t="s">
        <v>118</v>
      </c>
      <c r="B272" t="s">
        <v>119</v>
      </c>
      <c r="C272" t="s">
        <v>274</v>
      </c>
      <c r="D272">
        <v>4</v>
      </c>
      <c r="E272" t="s">
        <v>213</v>
      </c>
      <c r="F272">
        <v>5</v>
      </c>
      <c r="G272">
        <f t="shared" si="16"/>
        <v>0.8</v>
      </c>
      <c r="H272">
        <f>SUMIFS(Home!$E$28:$E$39,Home!$B$28:$B$39,$B272)</f>
        <v>0</v>
      </c>
      <c r="I272">
        <f t="shared" si="17"/>
        <v>0</v>
      </c>
      <c r="J272">
        <f>$G272*Home!$D$5</f>
        <v>0.8</v>
      </c>
      <c r="K272">
        <f>INDEX(Pantry!$I$7:$I$68,MATCH($C272,Pantry!$A$7:$A$68,0))</f>
        <v>0</v>
      </c>
      <c r="L272">
        <f t="shared" si="18"/>
        <v>0</v>
      </c>
      <c r="M272">
        <f t="shared" si="19"/>
        <v>0.8</v>
      </c>
    </row>
    <row r="273" spans="1:13" x14ac:dyDescent="0.35">
      <c r="A273" t="s">
        <v>118</v>
      </c>
      <c r="B273" t="s">
        <v>119</v>
      </c>
      <c r="C273" t="s">
        <v>238</v>
      </c>
      <c r="D273">
        <v>4</v>
      </c>
      <c r="E273" t="s">
        <v>213</v>
      </c>
      <c r="F273">
        <v>5</v>
      </c>
      <c r="G273">
        <f t="shared" si="16"/>
        <v>0.8</v>
      </c>
      <c r="H273">
        <f>SUMIFS(Home!$E$28:$E$39,Home!$B$28:$B$39,$B273)</f>
        <v>0</v>
      </c>
      <c r="I273">
        <f t="shared" si="17"/>
        <v>0</v>
      </c>
      <c r="J273">
        <f>$G273*Home!$D$5</f>
        <v>0.8</v>
      </c>
      <c r="K273">
        <f>INDEX(Pantry!$I$7:$I$68,MATCH($C273,Pantry!$A$7:$A$68,0))</f>
        <v>8</v>
      </c>
      <c r="L273">
        <f t="shared" si="18"/>
        <v>1</v>
      </c>
      <c r="M273">
        <f t="shared" si="19"/>
        <v>0</v>
      </c>
    </row>
    <row r="274" spans="1:13" x14ac:dyDescent="0.35">
      <c r="A274" t="s">
        <v>118</v>
      </c>
      <c r="B274" t="s">
        <v>119</v>
      </c>
      <c r="C274" t="s">
        <v>235</v>
      </c>
      <c r="D274">
        <v>2</v>
      </c>
      <c r="E274" t="s">
        <v>236</v>
      </c>
      <c r="F274">
        <v>5</v>
      </c>
      <c r="G274">
        <f t="shared" si="16"/>
        <v>0.4</v>
      </c>
      <c r="H274">
        <f>SUMIFS(Home!$E$28:$E$39,Home!$B$28:$B$39,$B274)</f>
        <v>0</v>
      </c>
      <c r="I274">
        <f t="shared" si="17"/>
        <v>0</v>
      </c>
      <c r="J274">
        <f>$G274*Home!$D$5</f>
        <v>0.4</v>
      </c>
      <c r="K274">
        <f>INDEX(Pantry!$I$7:$I$68,MATCH($C274,Pantry!$A$7:$A$68,0))</f>
        <v>3</v>
      </c>
      <c r="L274">
        <f t="shared" si="18"/>
        <v>1</v>
      </c>
      <c r="M274">
        <f t="shared" si="19"/>
        <v>0</v>
      </c>
    </row>
    <row r="275" spans="1:13" x14ac:dyDescent="0.35">
      <c r="A275" t="s">
        <v>118</v>
      </c>
      <c r="B275" t="s">
        <v>119</v>
      </c>
      <c r="C275" t="s">
        <v>215</v>
      </c>
      <c r="D275">
        <v>0.25</v>
      </c>
      <c r="E275" t="s">
        <v>211</v>
      </c>
      <c r="F275">
        <v>5</v>
      </c>
      <c r="G275">
        <f t="shared" si="16"/>
        <v>0.05</v>
      </c>
      <c r="H275">
        <f>SUMIFS(Home!$E$28:$E$39,Home!$B$28:$B$39,$B275)</f>
        <v>0</v>
      </c>
      <c r="I275">
        <f t="shared" si="17"/>
        <v>0</v>
      </c>
      <c r="J275">
        <f>$G275*Home!$D$5</f>
        <v>0.05</v>
      </c>
      <c r="K275">
        <f>INDEX(Pantry!$I$7:$I$68,MATCH($C275,Pantry!$A$7:$A$68,0))</f>
        <v>5</v>
      </c>
      <c r="L275">
        <f t="shared" si="18"/>
        <v>1</v>
      </c>
      <c r="M275">
        <f t="shared" si="19"/>
        <v>0</v>
      </c>
    </row>
    <row r="276" spans="1:13" x14ac:dyDescent="0.35">
      <c r="A276" t="s">
        <v>118</v>
      </c>
      <c r="B276" t="s">
        <v>119</v>
      </c>
      <c r="C276" t="s">
        <v>221</v>
      </c>
      <c r="D276">
        <v>2</v>
      </c>
      <c r="E276" t="s">
        <v>222</v>
      </c>
      <c r="F276">
        <v>5</v>
      </c>
      <c r="G276">
        <f t="shared" si="16"/>
        <v>0.4</v>
      </c>
      <c r="H276">
        <f>SUMIFS(Home!$E$28:$E$39,Home!$B$28:$B$39,$B276)</f>
        <v>0</v>
      </c>
      <c r="I276">
        <f t="shared" si="17"/>
        <v>0</v>
      </c>
      <c r="J276">
        <f>$G276*Home!$D$5</f>
        <v>0.4</v>
      </c>
      <c r="K276">
        <f>INDEX(Pantry!$I$7:$I$68,MATCH($C276,Pantry!$A$7:$A$68,0))</f>
        <v>50</v>
      </c>
      <c r="L276">
        <f t="shared" si="18"/>
        <v>1</v>
      </c>
      <c r="M276">
        <f t="shared" si="19"/>
        <v>0</v>
      </c>
    </row>
    <row r="277" spans="1:13" x14ac:dyDescent="0.35">
      <c r="A277" t="s">
        <v>118</v>
      </c>
      <c r="B277" t="s">
        <v>119</v>
      </c>
      <c r="C277" t="s">
        <v>231</v>
      </c>
      <c r="D277">
        <v>1</v>
      </c>
      <c r="E277" t="s">
        <v>222</v>
      </c>
      <c r="F277">
        <v>5</v>
      </c>
      <c r="G277">
        <f t="shared" si="16"/>
        <v>0.2</v>
      </c>
      <c r="H277">
        <f>SUMIFS(Home!$E$28:$E$39,Home!$B$28:$B$39,$B277)</f>
        <v>0</v>
      </c>
      <c r="I277">
        <f t="shared" si="17"/>
        <v>0</v>
      </c>
      <c r="J277">
        <f>$G277*Home!$D$5</f>
        <v>0.2</v>
      </c>
      <c r="K277">
        <f>INDEX(Pantry!$I$7:$I$68,MATCH($C277,Pantry!$A$7:$A$68,0))</f>
        <v>20</v>
      </c>
      <c r="L277">
        <f t="shared" si="18"/>
        <v>1</v>
      </c>
      <c r="M277">
        <f t="shared" si="19"/>
        <v>0</v>
      </c>
    </row>
    <row r="278" spans="1:13" x14ac:dyDescent="0.35">
      <c r="A278" t="s">
        <v>118</v>
      </c>
      <c r="B278" t="s">
        <v>119</v>
      </c>
      <c r="C278" t="s">
        <v>212</v>
      </c>
      <c r="D278">
        <v>1</v>
      </c>
      <c r="E278" t="s">
        <v>213</v>
      </c>
      <c r="F278">
        <v>5</v>
      </c>
      <c r="G278">
        <f t="shared" si="16"/>
        <v>0.2</v>
      </c>
      <c r="H278">
        <f>SUMIFS(Home!$E$28:$E$39,Home!$B$28:$B$39,$B278)</f>
        <v>0</v>
      </c>
      <c r="I278">
        <f t="shared" si="17"/>
        <v>0</v>
      </c>
      <c r="J278">
        <f>$G278*Home!$D$5</f>
        <v>0.2</v>
      </c>
      <c r="K278">
        <f>INDEX(Pantry!$I$7:$I$68,MATCH($C278,Pantry!$A$7:$A$68,0))</f>
        <v>1</v>
      </c>
      <c r="L278">
        <f t="shared" si="18"/>
        <v>1</v>
      </c>
      <c r="M278">
        <f t="shared" si="19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A1:J68"/>
  <sheetViews>
    <sheetView zoomScaleNormal="100" workbookViewId="0">
      <pane ySplit="6" topLeftCell="A7" activePane="bottomLeft" state="frozen"/>
      <selection pane="bottomLeft"/>
    </sheetView>
  </sheetViews>
  <sheetFormatPr defaultColWidth="8.6328125" defaultRowHeight="14.5" x14ac:dyDescent="0.35"/>
  <cols>
    <col min="1" max="1" width="26" customWidth="1"/>
    <col min="2" max="2" width="12" customWidth="1"/>
    <col min="3" max="3" width="7" customWidth="1"/>
    <col min="4" max="5" width="13" customWidth="1"/>
    <col min="6" max="6" width="12" customWidth="1"/>
    <col min="7" max="7" width="26" customWidth="1"/>
    <col min="8" max="8" width="18" customWidth="1"/>
    <col min="9" max="9" width="13" customWidth="1"/>
    <col min="10" max="10" width="12" customWidth="1"/>
  </cols>
  <sheetData>
    <row r="1" spans="1:10" ht="20" x14ac:dyDescent="0.4">
      <c r="A1" s="32" t="s">
        <v>275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5">
      <c r="A2" s="33" t="s">
        <v>276</v>
      </c>
    </row>
    <row r="3" spans="1:10" x14ac:dyDescent="0.35">
      <c r="A3" s="34" t="s">
        <v>277</v>
      </c>
      <c r="C3" s="7"/>
      <c r="D3" s="7"/>
      <c r="E3" s="7"/>
      <c r="F3" s="5" t="str">
        <f>IF($C$3="","pick a dish to check",IF(SUMPRODUCT((Data!$B$3:$B$278=$C$3)*(Data!$L$3:$L$278=0))=0,"ALL AVAILABLE for "&amp;Home!$D$5&amp;" people","MISSING "&amp;SUMPRODUCT((Data!$B$3:$B$278=$C$3)*(Data!$L$3:$L$278=0))&amp;" item(s)"))</f>
        <v>pick a dish to check</v>
      </c>
      <c r="G3" s="5"/>
      <c r="H3" s="5"/>
      <c r="I3" s="5"/>
    </row>
    <row r="4" spans="1:10" ht="25.5" customHeight="1" x14ac:dyDescent="0.35">
      <c r="A4" s="47" t="s">
        <v>278</v>
      </c>
      <c r="C4" s="4" t="str">
        <f t="array" ref="C4">IF($C$3="","",_xlfn.TEXTJOIN(", ",TRUE(),IF((Data!$B$3:$B$278=$C$3)*(Data!$M$3:$M$278&gt;0),Data!$C$3:$C$278&amp;" ("&amp;TEXT(Data!$M$3:$M$278,"0.##")&amp;" "&amp;Data!$E$3:$E$278&amp;")","")))</f>
        <v/>
      </c>
      <c r="D4" s="4"/>
      <c r="E4" s="4"/>
      <c r="F4" s="4"/>
      <c r="G4" s="4"/>
      <c r="H4" s="4"/>
      <c r="I4" s="4"/>
      <c r="J4" s="4"/>
    </row>
    <row r="6" spans="1:10" x14ac:dyDescent="0.35">
      <c r="A6" s="20" t="s">
        <v>193</v>
      </c>
      <c r="B6" s="20" t="s">
        <v>279</v>
      </c>
      <c r="C6" s="20" t="s">
        <v>195</v>
      </c>
      <c r="D6" s="20" t="s">
        <v>280</v>
      </c>
      <c r="E6" s="20" t="s">
        <v>281</v>
      </c>
      <c r="F6" s="20" t="s">
        <v>282</v>
      </c>
      <c r="G6" s="20" t="s">
        <v>283</v>
      </c>
      <c r="H6" s="20" t="s">
        <v>284</v>
      </c>
      <c r="I6" s="20" t="s">
        <v>285</v>
      </c>
      <c r="J6" s="20" t="s">
        <v>286</v>
      </c>
    </row>
    <row r="7" spans="1:10" x14ac:dyDescent="0.35">
      <c r="A7" s="42" t="s">
        <v>264</v>
      </c>
      <c r="B7" s="30">
        <v>0</v>
      </c>
      <c r="C7" s="42" t="s">
        <v>230</v>
      </c>
      <c r="D7" s="48">
        <v>250</v>
      </c>
      <c r="E7" s="49">
        <v>46210</v>
      </c>
      <c r="F7" s="48" t="s">
        <v>287</v>
      </c>
      <c r="G7" s="48"/>
      <c r="H7" s="50">
        <f>SUMIFS(Data!$I$3:$I$278,Data!$C$3:$C$278,$A7)</f>
        <v>0</v>
      </c>
      <c r="I7" s="50">
        <f t="shared" ref="I7:I38" si="0">MAX(0,$B7-$H7)</f>
        <v>0</v>
      </c>
      <c r="J7" s="50" t="str">
        <f t="shared" ref="J7:J38" si="1">IF($I7&lt;$D7,"LOW - BUY","OK")</f>
        <v>LOW - BUY</v>
      </c>
    </row>
    <row r="8" spans="1:10" x14ac:dyDescent="0.35">
      <c r="A8" s="42" t="s">
        <v>259</v>
      </c>
      <c r="B8" s="30">
        <v>0</v>
      </c>
      <c r="C8" s="42" t="s">
        <v>230</v>
      </c>
      <c r="D8" s="48">
        <v>100</v>
      </c>
      <c r="E8" s="49">
        <v>46210</v>
      </c>
      <c r="F8" s="48" t="s">
        <v>287</v>
      </c>
      <c r="G8" s="48"/>
      <c r="H8" s="50">
        <f>SUMIFS(Data!$I$3:$I$278,Data!$C$3:$C$278,$A8)</f>
        <v>0</v>
      </c>
      <c r="I8" s="50">
        <f t="shared" si="0"/>
        <v>0</v>
      </c>
      <c r="J8" s="50" t="str">
        <f t="shared" si="1"/>
        <v>LOW - BUY</v>
      </c>
    </row>
    <row r="9" spans="1:10" x14ac:dyDescent="0.35">
      <c r="A9" s="42" t="s">
        <v>256</v>
      </c>
      <c r="B9" s="30">
        <v>2</v>
      </c>
      <c r="C9" s="42" t="s">
        <v>208</v>
      </c>
      <c r="D9" s="48">
        <v>1</v>
      </c>
      <c r="E9" s="49">
        <v>46210</v>
      </c>
      <c r="F9" s="48" t="s">
        <v>287</v>
      </c>
      <c r="G9" s="48"/>
      <c r="H9" s="50">
        <f>SUMIFS(Data!$I$3:$I$278,Data!$C$3:$C$278,$A9)</f>
        <v>0</v>
      </c>
      <c r="I9" s="50">
        <f t="shared" si="0"/>
        <v>2</v>
      </c>
      <c r="J9" s="50" t="str">
        <f t="shared" si="1"/>
        <v>OK</v>
      </c>
    </row>
    <row r="10" spans="1:10" x14ac:dyDescent="0.35">
      <c r="A10" s="42" t="s">
        <v>258</v>
      </c>
      <c r="B10" s="30">
        <v>3</v>
      </c>
      <c r="C10" s="42" t="s">
        <v>208</v>
      </c>
      <c r="D10" s="48">
        <v>2</v>
      </c>
      <c r="E10" s="49">
        <v>46210</v>
      </c>
      <c r="F10" s="48" t="s">
        <v>287</v>
      </c>
      <c r="G10" s="48"/>
      <c r="H10" s="50">
        <f>SUMIFS(Data!$I$3:$I$278,Data!$C$3:$C$278,$A10)</f>
        <v>0</v>
      </c>
      <c r="I10" s="50">
        <f t="shared" si="0"/>
        <v>3</v>
      </c>
      <c r="J10" s="50" t="str">
        <f t="shared" si="1"/>
        <v>OK</v>
      </c>
    </row>
    <row r="11" spans="1:10" x14ac:dyDescent="0.35">
      <c r="A11" s="42" t="s">
        <v>263</v>
      </c>
      <c r="B11" s="30">
        <v>0</v>
      </c>
      <c r="C11" s="42" t="s">
        <v>208</v>
      </c>
      <c r="D11" s="48">
        <v>1</v>
      </c>
      <c r="E11" s="49">
        <v>46210</v>
      </c>
      <c r="F11" s="48" t="s">
        <v>287</v>
      </c>
      <c r="G11" s="48"/>
      <c r="H11" s="50">
        <f>SUMIFS(Data!$I$3:$I$278,Data!$C$3:$C$278,$A11)</f>
        <v>0</v>
      </c>
      <c r="I11" s="50">
        <f t="shared" si="0"/>
        <v>0</v>
      </c>
      <c r="J11" s="50" t="str">
        <f t="shared" si="1"/>
        <v>LOW - BUY</v>
      </c>
    </row>
    <row r="12" spans="1:10" x14ac:dyDescent="0.35">
      <c r="A12" s="42" t="s">
        <v>241</v>
      </c>
      <c r="B12" s="30">
        <v>4</v>
      </c>
      <c r="C12" s="42" t="s">
        <v>242</v>
      </c>
      <c r="D12" s="48">
        <v>2</v>
      </c>
      <c r="E12" s="49">
        <v>46210</v>
      </c>
      <c r="F12" s="48" t="s">
        <v>287</v>
      </c>
      <c r="G12" s="48"/>
      <c r="H12" s="50">
        <f>SUMIFS(Data!$I$3:$I$278,Data!$C$3:$C$278,$A12)</f>
        <v>0</v>
      </c>
      <c r="I12" s="50">
        <f t="shared" si="0"/>
        <v>4</v>
      </c>
      <c r="J12" s="50" t="str">
        <f t="shared" si="1"/>
        <v>OK</v>
      </c>
    </row>
    <row r="13" spans="1:10" x14ac:dyDescent="0.35">
      <c r="A13" s="42" t="s">
        <v>218</v>
      </c>
      <c r="B13" s="30">
        <v>2</v>
      </c>
      <c r="C13" s="42" t="s">
        <v>217</v>
      </c>
      <c r="D13" s="48">
        <v>1</v>
      </c>
      <c r="E13" s="49">
        <v>46210</v>
      </c>
      <c r="F13" s="48" t="s">
        <v>287</v>
      </c>
      <c r="G13" s="48"/>
      <c r="H13" s="50">
        <f>SUMIFS(Data!$I$3:$I$278,Data!$C$3:$C$278,$A13)</f>
        <v>0</v>
      </c>
      <c r="I13" s="50">
        <f t="shared" si="0"/>
        <v>2</v>
      </c>
      <c r="J13" s="50" t="str">
        <f t="shared" si="1"/>
        <v>OK</v>
      </c>
    </row>
    <row r="14" spans="1:10" x14ac:dyDescent="0.35">
      <c r="A14" s="42" t="s">
        <v>235</v>
      </c>
      <c r="B14" s="30">
        <v>3</v>
      </c>
      <c r="C14" s="42" t="s">
        <v>236</v>
      </c>
      <c r="D14" s="48">
        <v>2</v>
      </c>
      <c r="E14" s="49">
        <v>46210</v>
      </c>
      <c r="F14" s="48" t="s">
        <v>287</v>
      </c>
      <c r="G14" s="48"/>
      <c r="H14" s="50">
        <f>SUMIFS(Data!$I$3:$I$278,Data!$C$3:$C$278,$A14)</f>
        <v>0</v>
      </c>
      <c r="I14" s="50">
        <f t="shared" si="0"/>
        <v>3</v>
      </c>
      <c r="J14" s="50" t="str">
        <f t="shared" si="1"/>
        <v>OK</v>
      </c>
    </row>
    <row r="15" spans="1:10" x14ac:dyDescent="0.35">
      <c r="A15" s="42" t="s">
        <v>219</v>
      </c>
      <c r="B15" s="30">
        <v>10</v>
      </c>
      <c r="C15" s="42" t="s">
        <v>208</v>
      </c>
      <c r="D15" s="48">
        <v>5</v>
      </c>
      <c r="E15" s="49">
        <v>46210</v>
      </c>
      <c r="F15" s="48" t="s">
        <v>287</v>
      </c>
      <c r="G15" s="48"/>
      <c r="H15" s="50">
        <f>SUMIFS(Data!$I$3:$I$278,Data!$C$3:$C$278,$A15)</f>
        <v>0</v>
      </c>
      <c r="I15" s="50">
        <f t="shared" si="0"/>
        <v>10</v>
      </c>
      <c r="J15" s="50" t="str">
        <f t="shared" si="1"/>
        <v>OK</v>
      </c>
    </row>
    <row r="16" spans="1:10" x14ac:dyDescent="0.35">
      <c r="A16" s="42" t="s">
        <v>220</v>
      </c>
      <c r="B16" s="30">
        <v>1</v>
      </c>
      <c r="C16" s="42" t="s">
        <v>208</v>
      </c>
      <c r="D16" s="48">
        <v>2</v>
      </c>
      <c r="E16" s="49">
        <v>46210</v>
      </c>
      <c r="F16" s="48" t="s">
        <v>287</v>
      </c>
      <c r="G16" s="48"/>
      <c r="H16" s="50">
        <f>SUMIFS(Data!$I$3:$I$278,Data!$C$3:$C$278,$A16)</f>
        <v>0</v>
      </c>
      <c r="I16" s="50">
        <f t="shared" si="0"/>
        <v>1</v>
      </c>
      <c r="J16" s="50" t="str">
        <f t="shared" si="1"/>
        <v>LOW - BUY</v>
      </c>
    </row>
    <row r="17" spans="1:10" x14ac:dyDescent="0.35">
      <c r="A17" s="42" t="s">
        <v>216</v>
      </c>
      <c r="B17" s="30">
        <v>0</v>
      </c>
      <c r="C17" s="42" t="s">
        <v>217</v>
      </c>
      <c r="D17" s="48">
        <v>1</v>
      </c>
      <c r="E17" s="49">
        <v>46210</v>
      </c>
      <c r="F17" s="48" t="s">
        <v>287</v>
      </c>
      <c r="G17" s="48"/>
      <c r="H17" s="50">
        <f>SUMIFS(Data!$I$3:$I$278,Data!$C$3:$C$278,$A17)</f>
        <v>0</v>
      </c>
      <c r="I17" s="50">
        <f t="shared" si="0"/>
        <v>0</v>
      </c>
      <c r="J17" s="50" t="str">
        <f t="shared" si="1"/>
        <v>LOW - BUY</v>
      </c>
    </row>
    <row r="18" spans="1:10" x14ac:dyDescent="0.35">
      <c r="A18" s="42" t="s">
        <v>272</v>
      </c>
      <c r="B18" s="30">
        <v>0</v>
      </c>
      <c r="C18" s="42" t="s">
        <v>217</v>
      </c>
      <c r="D18" s="48">
        <v>2</v>
      </c>
      <c r="E18" s="49">
        <v>46210</v>
      </c>
      <c r="F18" s="48" t="s">
        <v>287</v>
      </c>
      <c r="G18" s="48"/>
      <c r="H18" s="50">
        <f>SUMIFS(Data!$I$3:$I$278,Data!$C$3:$C$278,$A18)</f>
        <v>0</v>
      </c>
      <c r="I18" s="50">
        <f t="shared" si="0"/>
        <v>0</v>
      </c>
      <c r="J18" s="50" t="str">
        <f t="shared" si="1"/>
        <v>LOW - BUY</v>
      </c>
    </row>
    <row r="19" spans="1:10" x14ac:dyDescent="0.35">
      <c r="A19" s="42" t="s">
        <v>262</v>
      </c>
      <c r="B19" s="30">
        <v>0</v>
      </c>
      <c r="C19" s="42" t="s">
        <v>230</v>
      </c>
      <c r="D19" s="48">
        <v>250</v>
      </c>
      <c r="E19" s="49">
        <v>46210</v>
      </c>
      <c r="F19" s="48" t="s">
        <v>287</v>
      </c>
      <c r="G19" s="48"/>
      <c r="H19" s="50">
        <f>SUMIFS(Data!$I$3:$I$278,Data!$C$3:$C$278,$A19)</f>
        <v>0</v>
      </c>
      <c r="I19" s="50">
        <f t="shared" si="0"/>
        <v>0</v>
      </c>
      <c r="J19" s="50" t="str">
        <f t="shared" si="1"/>
        <v>LOW - BUY</v>
      </c>
    </row>
    <row r="20" spans="1:10" x14ac:dyDescent="0.35">
      <c r="A20" s="42" t="s">
        <v>207</v>
      </c>
      <c r="B20" s="30">
        <v>6</v>
      </c>
      <c r="C20" s="42" t="s">
        <v>208</v>
      </c>
      <c r="D20" s="48">
        <v>2</v>
      </c>
      <c r="E20" s="49">
        <v>46210</v>
      </c>
      <c r="F20" s="48" t="s">
        <v>287</v>
      </c>
      <c r="G20" s="48"/>
      <c r="H20" s="50">
        <f>SUMIFS(Data!$I$3:$I$278,Data!$C$3:$C$278,$A20)</f>
        <v>0</v>
      </c>
      <c r="I20" s="50">
        <f t="shared" si="0"/>
        <v>6</v>
      </c>
      <c r="J20" s="50" t="str">
        <f t="shared" si="1"/>
        <v>OK</v>
      </c>
    </row>
    <row r="21" spans="1:10" x14ac:dyDescent="0.35">
      <c r="A21" s="42" t="s">
        <v>246</v>
      </c>
      <c r="B21" s="30">
        <v>5</v>
      </c>
      <c r="C21" s="42" t="s">
        <v>208</v>
      </c>
      <c r="D21" s="48">
        <v>3</v>
      </c>
      <c r="E21" s="49">
        <v>46210</v>
      </c>
      <c r="F21" s="48" t="s">
        <v>287</v>
      </c>
      <c r="G21" s="48"/>
      <c r="H21" s="50">
        <f>SUMIFS(Data!$I$3:$I$278,Data!$C$3:$C$278,$A21)</f>
        <v>0</v>
      </c>
      <c r="I21" s="50">
        <f t="shared" si="0"/>
        <v>5</v>
      </c>
      <c r="J21" s="50" t="str">
        <f t="shared" si="1"/>
        <v>OK</v>
      </c>
    </row>
    <row r="22" spans="1:10" x14ac:dyDescent="0.35">
      <c r="A22" s="42" t="s">
        <v>273</v>
      </c>
      <c r="B22" s="30">
        <v>1</v>
      </c>
      <c r="C22" s="42" t="s">
        <v>217</v>
      </c>
      <c r="D22" s="48">
        <v>1</v>
      </c>
      <c r="E22" s="49">
        <v>46210</v>
      </c>
      <c r="F22" s="48" t="s">
        <v>287</v>
      </c>
      <c r="G22" s="48"/>
      <c r="H22" s="50">
        <f>SUMIFS(Data!$I$3:$I$278,Data!$C$3:$C$278,$A22)</f>
        <v>0</v>
      </c>
      <c r="I22" s="50">
        <f t="shared" si="0"/>
        <v>1</v>
      </c>
      <c r="J22" s="50" t="str">
        <f t="shared" si="1"/>
        <v>OK</v>
      </c>
    </row>
    <row r="23" spans="1:10" x14ac:dyDescent="0.35">
      <c r="A23" s="42" t="s">
        <v>257</v>
      </c>
      <c r="B23" s="30">
        <v>0</v>
      </c>
      <c r="C23" s="42" t="s">
        <v>208</v>
      </c>
      <c r="D23" s="48">
        <v>2</v>
      </c>
      <c r="E23" s="49">
        <v>46210</v>
      </c>
      <c r="F23" s="48" t="s">
        <v>287</v>
      </c>
      <c r="G23" s="48"/>
      <c r="H23" s="50">
        <f>SUMIFS(Data!$I$3:$I$278,Data!$C$3:$C$278,$A23)</f>
        <v>0</v>
      </c>
      <c r="I23" s="50">
        <f t="shared" si="0"/>
        <v>0</v>
      </c>
      <c r="J23" s="50" t="str">
        <f t="shared" si="1"/>
        <v>LOW - BUY</v>
      </c>
    </row>
    <row r="24" spans="1:10" x14ac:dyDescent="0.35">
      <c r="A24" s="42" t="s">
        <v>209</v>
      </c>
      <c r="B24" s="30">
        <v>4</v>
      </c>
      <c r="C24" s="42" t="s">
        <v>208</v>
      </c>
      <c r="D24" s="48">
        <v>3</v>
      </c>
      <c r="E24" s="49">
        <v>46210</v>
      </c>
      <c r="F24" s="48" t="s">
        <v>287</v>
      </c>
      <c r="G24" s="48"/>
      <c r="H24" s="50">
        <f>SUMIFS(Data!$I$3:$I$278,Data!$C$3:$C$278,$A24)</f>
        <v>0</v>
      </c>
      <c r="I24" s="50">
        <f t="shared" si="0"/>
        <v>4</v>
      </c>
      <c r="J24" s="50" t="str">
        <f t="shared" si="1"/>
        <v>OK</v>
      </c>
    </row>
    <row r="25" spans="1:10" x14ac:dyDescent="0.35">
      <c r="A25" s="42" t="s">
        <v>245</v>
      </c>
      <c r="B25" s="30">
        <v>0</v>
      </c>
      <c r="C25" s="42" t="s">
        <v>205</v>
      </c>
      <c r="D25" s="48">
        <v>0.5</v>
      </c>
      <c r="E25" s="49">
        <v>46210</v>
      </c>
      <c r="F25" s="48" t="s">
        <v>287</v>
      </c>
      <c r="G25" s="48"/>
      <c r="H25" s="50">
        <f>SUMIFS(Data!$I$3:$I$278,Data!$C$3:$C$278,$A25)</f>
        <v>0</v>
      </c>
      <c r="I25" s="50">
        <f t="shared" si="0"/>
        <v>0</v>
      </c>
      <c r="J25" s="50" t="str">
        <f t="shared" si="1"/>
        <v>LOW - BUY</v>
      </c>
    </row>
    <row r="26" spans="1:10" x14ac:dyDescent="0.35">
      <c r="A26" s="42" t="s">
        <v>248</v>
      </c>
      <c r="B26" s="30">
        <v>1</v>
      </c>
      <c r="C26" s="42" t="s">
        <v>205</v>
      </c>
      <c r="D26" s="48">
        <v>0.5</v>
      </c>
      <c r="E26" s="49">
        <v>46210</v>
      </c>
      <c r="F26" s="48" t="s">
        <v>287</v>
      </c>
      <c r="G26" s="48"/>
      <c r="H26" s="50">
        <f>SUMIFS(Data!$I$3:$I$278,Data!$C$3:$C$278,$A26)</f>
        <v>0</v>
      </c>
      <c r="I26" s="50">
        <f t="shared" si="0"/>
        <v>1</v>
      </c>
      <c r="J26" s="50" t="str">
        <f t="shared" si="1"/>
        <v>OK</v>
      </c>
    </row>
    <row r="27" spans="1:10" x14ac:dyDescent="0.35">
      <c r="A27" s="42" t="s">
        <v>267</v>
      </c>
      <c r="B27" s="30">
        <v>0</v>
      </c>
      <c r="C27" s="42" t="s">
        <v>205</v>
      </c>
      <c r="D27" s="48">
        <v>1</v>
      </c>
      <c r="E27" s="49">
        <v>46210</v>
      </c>
      <c r="F27" s="48" t="s">
        <v>287</v>
      </c>
      <c r="G27" s="48"/>
      <c r="H27" s="50">
        <f>SUMIFS(Data!$I$3:$I$278,Data!$C$3:$C$278,$A27)</f>
        <v>0</v>
      </c>
      <c r="I27" s="50">
        <f t="shared" si="0"/>
        <v>0</v>
      </c>
      <c r="J27" s="50" t="str">
        <f t="shared" si="1"/>
        <v>LOW - BUY</v>
      </c>
    </row>
    <row r="28" spans="1:10" x14ac:dyDescent="0.35">
      <c r="A28" s="42" t="s">
        <v>204</v>
      </c>
      <c r="B28" s="30">
        <v>1</v>
      </c>
      <c r="C28" s="42" t="s">
        <v>205</v>
      </c>
      <c r="D28" s="48">
        <v>1</v>
      </c>
      <c r="E28" s="49">
        <v>46210</v>
      </c>
      <c r="F28" s="48" t="s">
        <v>287</v>
      </c>
      <c r="G28" s="48"/>
      <c r="H28" s="50">
        <f>SUMIFS(Data!$I$3:$I$278,Data!$C$3:$C$278,$A28)</f>
        <v>0</v>
      </c>
      <c r="I28" s="50">
        <f t="shared" si="0"/>
        <v>1</v>
      </c>
      <c r="J28" s="50" t="str">
        <f t="shared" si="1"/>
        <v>OK</v>
      </c>
    </row>
    <row r="29" spans="1:10" x14ac:dyDescent="0.35">
      <c r="A29" s="42" t="s">
        <v>238</v>
      </c>
      <c r="B29" s="30">
        <v>8</v>
      </c>
      <c r="C29" s="42" t="s">
        <v>213</v>
      </c>
      <c r="D29" s="48">
        <v>2</v>
      </c>
      <c r="E29" s="49">
        <v>46210</v>
      </c>
      <c r="F29" s="48" t="s">
        <v>287</v>
      </c>
      <c r="G29" s="48"/>
      <c r="H29" s="50">
        <f>SUMIFS(Data!$I$3:$I$278,Data!$C$3:$C$278,$A29)</f>
        <v>0</v>
      </c>
      <c r="I29" s="50">
        <f t="shared" si="0"/>
        <v>8</v>
      </c>
      <c r="J29" s="50" t="str">
        <f t="shared" si="1"/>
        <v>OK</v>
      </c>
    </row>
    <row r="30" spans="1:10" x14ac:dyDescent="0.35">
      <c r="A30" s="42" t="s">
        <v>249</v>
      </c>
      <c r="B30" s="30">
        <v>6</v>
      </c>
      <c r="C30" s="42" t="s">
        <v>208</v>
      </c>
      <c r="D30" s="48">
        <v>4</v>
      </c>
      <c r="E30" s="49">
        <v>46210</v>
      </c>
      <c r="F30" s="48" t="s">
        <v>287</v>
      </c>
      <c r="G30" s="48"/>
      <c r="H30" s="50">
        <f>SUMIFS(Data!$I$3:$I$278,Data!$C$3:$C$278,$A30)</f>
        <v>0</v>
      </c>
      <c r="I30" s="50">
        <f t="shared" si="0"/>
        <v>6</v>
      </c>
      <c r="J30" s="50" t="str">
        <f t="shared" si="1"/>
        <v>OK</v>
      </c>
    </row>
    <row r="31" spans="1:10" x14ac:dyDescent="0.35">
      <c r="A31" s="42" t="s">
        <v>210</v>
      </c>
      <c r="B31" s="30">
        <v>2</v>
      </c>
      <c r="C31" s="42" t="s">
        <v>211</v>
      </c>
      <c r="D31" s="48">
        <v>1</v>
      </c>
      <c r="E31" s="49">
        <v>46210</v>
      </c>
      <c r="F31" s="48" t="s">
        <v>287</v>
      </c>
      <c r="G31" s="48"/>
      <c r="H31" s="50">
        <f>SUMIFS(Data!$I$3:$I$278,Data!$C$3:$C$278,$A31)</f>
        <v>0</v>
      </c>
      <c r="I31" s="50">
        <f t="shared" si="0"/>
        <v>2</v>
      </c>
      <c r="J31" s="50" t="str">
        <f t="shared" si="1"/>
        <v>OK</v>
      </c>
    </row>
    <row r="32" spans="1:10" x14ac:dyDescent="0.35">
      <c r="A32" s="42" t="s">
        <v>214</v>
      </c>
      <c r="B32" s="30">
        <v>2</v>
      </c>
      <c r="C32" s="42" t="s">
        <v>213</v>
      </c>
      <c r="D32" s="48">
        <v>2</v>
      </c>
      <c r="E32" s="49">
        <v>46210</v>
      </c>
      <c r="F32" s="48" t="s">
        <v>287</v>
      </c>
      <c r="G32" s="48"/>
      <c r="H32" s="50">
        <f>SUMIFS(Data!$I$3:$I$278,Data!$C$3:$C$278,$A32)</f>
        <v>0</v>
      </c>
      <c r="I32" s="50">
        <f t="shared" si="0"/>
        <v>2</v>
      </c>
      <c r="J32" s="50" t="str">
        <f t="shared" si="1"/>
        <v>OK</v>
      </c>
    </row>
    <row r="33" spans="1:10" x14ac:dyDescent="0.35">
      <c r="A33" s="42" t="s">
        <v>237</v>
      </c>
      <c r="B33" s="30">
        <v>5</v>
      </c>
      <c r="C33" s="42" t="s">
        <v>222</v>
      </c>
      <c r="D33" s="48">
        <v>2</v>
      </c>
      <c r="E33" s="49">
        <v>46210</v>
      </c>
      <c r="F33" s="48" t="s">
        <v>287</v>
      </c>
      <c r="G33" s="48"/>
      <c r="H33" s="50">
        <f>SUMIFS(Data!$I$3:$I$278,Data!$C$3:$C$278,$A33)</f>
        <v>0</v>
      </c>
      <c r="I33" s="50">
        <f t="shared" si="0"/>
        <v>5</v>
      </c>
      <c r="J33" s="50" t="str">
        <f t="shared" si="1"/>
        <v>OK</v>
      </c>
    </row>
    <row r="34" spans="1:10" x14ac:dyDescent="0.35">
      <c r="A34" s="42" t="s">
        <v>233</v>
      </c>
      <c r="B34" s="30">
        <v>12</v>
      </c>
      <c r="C34" s="42" t="s">
        <v>222</v>
      </c>
      <c r="D34" s="48">
        <v>4</v>
      </c>
      <c r="E34" s="49">
        <v>46210</v>
      </c>
      <c r="F34" s="48" t="s">
        <v>287</v>
      </c>
      <c r="G34" s="48"/>
      <c r="H34" s="50">
        <f>SUMIFS(Data!$I$3:$I$278,Data!$C$3:$C$278,$A34)</f>
        <v>0</v>
      </c>
      <c r="I34" s="50">
        <f t="shared" si="0"/>
        <v>12</v>
      </c>
      <c r="J34" s="50" t="str">
        <f t="shared" si="1"/>
        <v>OK</v>
      </c>
    </row>
    <row r="35" spans="1:10" x14ac:dyDescent="0.35">
      <c r="A35" s="42" t="s">
        <v>227</v>
      </c>
      <c r="B35" s="30">
        <v>6</v>
      </c>
      <c r="C35" s="42" t="s">
        <v>222</v>
      </c>
      <c r="D35" s="48">
        <v>2</v>
      </c>
      <c r="E35" s="49">
        <v>46210</v>
      </c>
      <c r="F35" s="48" t="s">
        <v>287</v>
      </c>
      <c r="G35" s="48"/>
      <c r="H35" s="50">
        <f>SUMIFS(Data!$I$3:$I$278,Data!$C$3:$C$278,$A35)</f>
        <v>0</v>
      </c>
      <c r="I35" s="50">
        <f t="shared" si="0"/>
        <v>6</v>
      </c>
      <c r="J35" s="50" t="str">
        <f t="shared" si="1"/>
        <v>OK</v>
      </c>
    </row>
    <row r="36" spans="1:10" x14ac:dyDescent="0.35">
      <c r="A36" s="42" t="s">
        <v>226</v>
      </c>
      <c r="B36" s="30">
        <v>8</v>
      </c>
      <c r="C36" s="42" t="s">
        <v>222</v>
      </c>
      <c r="D36" s="48">
        <v>3</v>
      </c>
      <c r="E36" s="49">
        <v>46210</v>
      </c>
      <c r="F36" s="48" t="s">
        <v>287</v>
      </c>
      <c r="G36" s="48"/>
      <c r="H36" s="50">
        <f>SUMIFS(Data!$I$3:$I$278,Data!$C$3:$C$278,$A36)</f>
        <v>0</v>
      </c>
      <c r="I36" s="50">
        <f t="shared" si="0"/>
        <v>8</v>
      </c>
      <c r="J36" s="50" t="str">
        <f t="shared" si="1"/>
        <v>OK</v>
      </c>
    </row>
    <row r="37" spans="1:10" x14ac:dyDescent="0.35">
      <c r="A37" s="42" t="s">
        <v>265</v>
      </c>
      <c r="B37" s="30">
        <v>2</v>
      </c>
      <c r="C37" s="42" t="s">
        <v>222</v>
      </c>
      <c r="D37" s="48">
        <v>1</v>
      </c>
      <c r="E37" s="49">
        <v>46210</v>
      </c>
      <c r="F37" s="48" t="s">
        <v>287</v>
      </c>
      <c r="G37" s="48"/>
      <c r="H37" s="50">
        <f>SUMIFS(Data!$I$3:$I$278,Data!$C$3:$C$278,$A37)</f>
        <v>0</v>
      </c>
      <c r="I37" s="50">
        <f t="shared" si="0"/>
        <v>2</v>
      </c>
      <c r="J37" s="50" t="str">
        <f t="shared" si="1"/>
        <v>OK</v>
      </c>
    </row>
    <row r="38" spans="1:10" x14ac:dyDescent="0.35">
      <c r="A38" s="42" t="s">
        <v>228</v>
      </c>
      <c r="B38" s="30">
        <v>1</v>
      </c>
      <c r="C38" s="42" t="s">
        <v>222</v>
      </c>
      <c r="D38" s="48">
        <v>2</v>
      </c>
      <c r="E38" s="49">
        <v>46210</v>
      </c>
      <c r="F38" s="48" t="s">
        <v>287</v>
      </c>
      <c r="G38" s="48"/>
      <c r="H38" s="50">
        <f>SUMIFS(Data!$I$3:$I$278,Data!$C$3:$C$278,$A38)</f>
        <v>0</v>
      </c>
      <c r="I38" s="50">
        <f t="shared" si="0"/>
        <v>1</v>
      </c>
      <c r="J38" s="50" t="str">
        <f t="shared" si="1"/>
        <v>LOW - BUY</v>
      </c>
    </row>
    <row r="39" spans="1:10" x14ac:dyDescent="0.35">
      <c r="A39" s="42" t="s">
        <v>234</v>
      </c>
      <c r="B39" s="30">
        <v>10</v>
      </c>
      <c r="C39" s="42" t="s">
        <v>222</v>
      </c>
      <c r="D39" s="48">
        <v>3</v>
      </c>
      <c r="E39" s="49">
        <v>46210</v>
      </c>
      <c r="F39" s="48" t="s">
        <v>287</v>
      </c>
      <c r="G39" s="48"/>
      <c r="H39" s="50">
        <f>SUMIFS(Data!$I$3:$I$278,Data!$C$3:$C$278,$A39)</f>
        <v>0</v>
      </c>
      <c r="I39" s="50">
        <f t="shared" ref="I39:I68" si="2">MAX(0,$B39-$H39)</f>
        <v>10</v>
      </c>
      <c r="J39" s="50" t="str">
        <f t="shared" ref="J39:J68" si="3">IF($I39&lt;$D39,"LOW - BUY","OK")</f>
        <v>OK</v>
      </c>
    </row>
    <row r="40" spans="1:10" x14ac:dyDescent="0.35">
      <c r="A40" s="42" t="s">
        <v>247</v>
      </c>
      <c r="B40" s="30">
        <v>0</v>
      </c>
      <c r="C40" s="42" t="s">
        <v>222</v>
      </c>
      <c r="D40" s="48">
        <v>2</v>
      </c>
      <c r="E40" s="49">
        <v>46210</v>
      </c>
      <c r="F40" s="48" t="s">
        <v>287</v>
      </c>
      <c r="G40" s="48"/>
      <c r="H40" s="50">
        <f>SUMIFS(Data!$I$3:$I$278,Data!$C$3:$C$278,$A40)</f>
        <v>0</v>
      </c>
      <c r="I40" s="50">
        <f t="shared" si="2"/>
        <v>0</v>
      </c>
      <c r="J40" s="50" t="str">
        <f t="shared" si="3"/>
        <v>LOW - BUY</v>
      </c>
    </row>
    <row r="41" spans="1:10" x14ac:dyDescent="0.35">
      <c r="A41" s="42" t="s">
        <v>268</v>
      </c>
      <c r="B41" s="30">
        <v>0</v>
      </c>
      <c r="C41" s="42" t="s">
        <v>213</v>
      </c>
      <c r="D41" s="48">
        <v>2</v>
      </c>
      <c r="E41" s="49">
        <v>46210</v>
      </c>
      <c r="F41" s="48" t="s">
        <v>287</v>
      </c>
      <c r="G41" s="48"/>
      <c r="H41" s="50">
        <f>SUMIFS(Data!$I$3:$I$278,Data!$C$3:$C$278,$A41)</f>
        <v>0</v>
      </c>
      <c r="I41" s="50">
        <f t="shared" si="2"/>
        <v>0</v>
      </c>
      <c r="J41" s="50" t="str">
        <f t="shared" si="3"/>
        <v>LOW - BUY</v>
      </c>
    </row>
    <row r="42" spans="1:10" x14ac:dyDescent="0.35">
      <c r="A42" s="42" t="s">
        <v>231</v>
      </c>
      <c r="B42" s="30">
        <v>20</v>
      </c>
      <c r="C42" s="42" t="s">
        <v>222</v>
      </c>
      <c r="D42" s="48">
        <v>6</v>
      </c>
      <c r="E42" s="49">
        <v>46210</v>
      </c>
      <c r="F42" s="48" t="s">
        <v>287</v>
      </c>
      <c r="G42" s="48"/>
      <c r="H42" s="50">
        <f>SUMIFS(Data!$I$3:$I$278,Data!$C$3:$C$278,$A42)</f>
        <v>0</v>
      </c>
      <c r="I42" s="50">
        <f t="shared" si="2"/>
        <v>20</v>
      </c>
      <c r="J42" s="50" t="str">
        <f t="shared" si="3"/>
        <v>OK</v>
      </c>
    </row>
    <row r="43" spans="1:10" x14ac:dyDescent="0.35">
      <c r="A43" s="42" t="s">
        <v>221</v>
      </c>
      <c r="B43" s="30">
        <v>50</v>
      </c>
      <c r="C43" s="42" t="s">
        <v>222</v>
      </c>
      <c r="D43" s="48">
        <v>10</v>
      </c>
      <c r="E43" s="49">
        <v>46210</v>
      </c>
      <c r="F43" s="48" t="s">
        <v>287</v>
      </c>
      <c r="G43" s="48"/>
      <c r="H43" s="50">
        <f>SUMIFS(Data!$I$3:$I$278,Data!$C$3:$C$278,$A43)</f>
        <v>0</v>
      </c>
      <c r="I43" s="50">
        <f t="shared" si="2"/>
        <v>50</v>
      </c>
      <c r="J43" s="50" t="str">
        <f t="shared" si="3"/>
        <v>OK</v>
      </c>
    </row>
    <row r="44" spans="1:10" x14ac:dyDescent="0.35">
      <c r="A44" s="42" t="s">
        <v>232</v>
      </c>
      <c r="B44" s="30">
        <v>15</v>
      </c>
      <c r="C44" s="42" t="s">
        <v>222</v>
      </c>
      <c r="D44" s="48">
        <v>4</v>
      </c>
      <c r="E44" s="49">
        <v>46210</v>
      </c>
      <c r="F44" s="48" t="s">
        <v>287</v>
      </c>
      <c r="G44" s="48"/>
      <c r="H44" s="50">
        <f>SUMIFS(Data!$I$3:$I$278,Data!$C$3:$C$278,$A44)</f>
        <v>0</v>
      </c>
      <c r="I44" s="50">
        <f t="shared" si="2"/>
        <v>15</v>
      </c>
      <c r="J44" s="50" t="str">
        <f t="shared" si="3"/>
        <v>OK</v>
      </c>
    </row>
    <row r="45" spans="1:10" x14ac:dyDescent="0.35">
      <c r="A45" s="42" t="s">
        <v>225</v>
      </c>
      <c r="B45" s="30">
        <v>4</v>
      </c>
      <c r="C45" s="42" t="s">
        <v>213</v>
      </c>
      <c r="D45" s="48">
        <v>2</v>
      </c>
      <c r="E45" s="49">
        <v>46210</v>
      </c>
      <c r="F45" s="48" t="s">
        <v>287</v>
      </c>
      <c r="G45" s="48"/>
      <c r="H45" s="50">
        <f>SUMIFS(Data!$I$3:$I$278,Data!$C$3:$C$278,$A45)</f>
        <v>0</v>
      </c>
      <c r="I45" s="50">
        <f t="shared" si="2"/>
        <v>4</v>
      </c>
      <c r="J45" s="50" t="str">
        <f t="shared" si="3"/>
        <v>OK</v>
      </c>
    </row>
    <row r="46" spans="1:10" x14ac:dyDescent="0.35">
      <c r="A46" s="42" t="s">
        <v>206</v>
      </c>
      <c r="B46" s="30">
        <v>3</v>
      </c>
      <c r="C46" s="42" t="s">
        <v>205</v>
      </c>
      <c r="D46" s="48">
        <v>1</v>
      </c>
      <c r="E46" s="49">
        <v>46210</v>
      </c>
      <c r="F46" s="48" t="s">
        <v>287</v>
      </c>
      <c r="G46" s="48"/>
      <c r="H46" s="50">
        <f>SUMIFS(Data!$I$3:$I$278,Data!$C$3:$C$278,$A46)</f>
        <v>0</v>
      </c>
      <c r="I46" s="50">
        <f t="shared" si="2"/>
        <v>3</v>
      </c>
      <c r="J46" s="50" t="str">
        <f t="shared" si="3"/>
        <v>OK</v>
      </c>
    </row>
    <row r="47" spans="1:10" x14ac:dyDescent="0.35">
      <c r="A47" s="42" t="s">
        <v>266</v>
      </c>
      <c r="B47" s="30">
        <v>2</v>
      </c>
      <c r="C47" s="42" t="s">
        <v>208</v>
      </c>
      <c r="D47" s="48">
        <v>1</v>
      </c>
      <c r="E47" s="49">
        <v>46210</v>
      </c>
      <c r="F47" s="48" t="s">
        <v>287</v>
      </c>
      <c r="G47" s="48"/>
      <c r="H47" s="50">
        <f>SUMIFS(Data!$I$3:$I$278,Data!$C$3:$C$278,$A47)</f>
        <v>0</v>
      </c>
      <c r="I47" s="50">
        <f t="shared" si="2"/>
        <v>2</v>
      </c>
      <c r="J47" s="50" t="str">
        <f t="shared" si="3"/>
        <v>OK</v>
      </c>
    </row>
    <row r="48" spans="1:10" x14ac:dyDescent="0.35">
      <c r="A48" s="42" t="s">
        <v>252</v>
      </c>
      <c r="B48" s="30">
        <v>2</v>
      </c>
      <c r="C48" s="42" t="s">
        <v>213</v>
      </c>
      <c r="D48" s="48">
        <v>3</v>
      </c>
      <c r="E48" s="49">
        <v>46210</v>
      </c>
      <c r="F48" s="48" t="s">
        <v>287</v>
      </c>
      <c r="G48" s="48"/>
      <c r="H48" s="50">
        <f>SUMIFS(Data!$I$3:$I$278,Data!$C$3:$C$278,$A48)</f>
        <v>0</v>
      </c>
      <c r="I48" s="50">
        <f t="shared" si="2"/>
        <v>2</v>
      </c>
      <c r="J48" s="50" t="str">
        <f t="shared" si="3"/>
        <v>LOW - BUY</v>
      </c>
    </row>
    <row r="49" spans="1:10" x14ac:dyDescent="0.35">
      <c r="A49" s="42" t="s">
        <v>215</v>
      </c>
      <c r="B49" s="30">
        <v>5</v>
      </c>
      <c r="C49" s="42" t="s">
        <v>211</v>
      </c>
      <c r="D49" s="48">
        <v>2</v>
      </c>
      <c r="E49" s="49">
        <v>46210</v>
      </c>
      <c r="F49" s="48" t="s">
        <v>287</v>
      </c>
      <c r="G49" s="48"/>
      <c r="H49" s="50">
        <f>SUMIFS(Data!$I$3:$I$278,Data!$C$3:$C$278,$A49)</f>
        <v>0</v>
      </c>
      <c r="I49" s="50">
        <f t="shared" si="2"/>
        <v>5</v>
      </c>
      <c r="J49" s="50" t="str">
        <f t="shared" si="3"/>
        <v>OK</v>
      </c>
    </row>
    <row r="50" spans="1:10" x14ac:dyDescent="0.35">
      <c r="A50" s="42" t="s">
        <v>250</v>
      </c>
      <c r="B50" s="30">
        <v>4</v>
      </c>
      <c r="C50" s="42" t="s">
        <v>213</v>
      </c>
      <c r="D50" s="48">
        <v>2</v>
      </c>
      <c r="E50" s="49">
        <v>46210</v>
      </c>
      <c r="F50" s="48" t="s">
        <v>287</v>
      </c>
      <c r="G50" s="48"/>
      <c r="H50" s="50">
        <f>SUMIFS(Data!$I$3:$I$278,Data!$C$3:$C$278,$A50)</f>
        <v>0</v>
      </c>
      <c r="I50" s="50">
        <f t="shared" si="2"/>
        <v>4</v>
      </c>
      <c r="J50" s="50" t="str">
        <f t="shared" si="3"/>
        <v>OK</v>
      </c>
    </row>
    <row r="51" spans="1:10" x14ac:dyDescent="0.35">
      <c r="A51" s="42" t="s">
        <v>223</v>
      </c>
      <c r="B51" s="30">
        <v>0</v>
      </c>
      <c r="C51" s="42" t="s">
        <v>211</v>
      </c>
      <c r="D51" s="48">
        <v>1</v>
      </c>
      <c r="E51" s="49">
        <v>46210</v>
      </c>
      <c r="F51" s="48" t="s">
        <v>287</v>
      </c>
      <c r="G51" s="48"/>
      <c r="H51" s="50">
        <f>SUMIFS(Data!$I$3:$I$278,Data!$C$3:$C$278,$A51)</f>
        <v>0</v>
      </c>
      <c r="I51" s="50">
        <f t="shared" si="2"/>
        <v>0</v>
      </c>
      <c r="J51" s="50" t="str">
        <f t="shared" si="3"/>
        <v>LOW - BUY</v>
      </c>
    </row>
    <row r="52" spans="1:10" x14ac:dyDescent="0.35">
      <c r="A52" s="42" t="s">
        <v>239</v>
      </c>
      <c r="B52" s="30">
        <v>10</v>
      </c>
      <c r="C52" s="42" t="s">
        <v>213</v>
      </c>
      <c r="D52" s="48">
        <v>4</v>
      </c>
      <c r="E52" s="49">
        <v>46210</v>
      </c>
      <c r="F52" s="48" t="s">
        <v>287</v>
      </c>
      <c r="G52" s="48"/>
      <c r="H52" s="50">
        <f>SUMIFS(Data!$I$3:$I$278,Data!$C$3:$C$278,$A52)</f>
        <v>0</v>
      </c>
      <c r="I52" s="50">
        <f t="shared" si="2"/>
        <v>10</v>
      </c>
      <c r="J52" s="50" t="str">
        <f t="shared" si="3"/>
        <v>OK</v>
      </c>
    </row>
    <row r="53" spans="1:10" x14ac:dyDescent="0.35">
      <c r="A53" s="42" t="s">
        <v>212</v>
      </c>
      <c r="B53" s="30">
        <v>1</v>
      </c>
      <c r="C53" s="42" t="s">
        <v>213</v>
      </c>
      <c r="D53" s="48">
        <v>2</v>
      </c>
      <c r="E53" s="49">
        <v>46210</v>
      </c>
      <c r="F53" s="48" t="s">
        <v>287</v>
      </c>
      <c r="G53" s="48"/>
      <c r="H53" s="50">
        <f>SUMIFS(Data!$I$3:$I$278,Data!$C$3:$C$278,$A53)</f>
        <v>0</v>
      </c>
      <c r="I53" s="50">
        <f t="shared" si="2"/>
        <v>1</v>
      </c>
      <c r="J53" s="50" t="str">
        <f t="shared" si="3"/>
        <v>LOW - BUY</v>
      </c>
    </row>
    <row r="54" spans="1:10" x14ac:dyDescent="0.35">
      <c r="A54" s="42" t="s">
        <v>270</v>
      </c>
      <c r="B54" s="30">
        <v>6</v>
      </c>
      <c r="C54" s="42" t="s">
        <v>213</v>
      </c>
      <c r="D54" s="48">
        <v>3</v>
      </c>
      <c r="E54" s="49">
        <v>46210</v>
      </c>
      <c r="F54" s="48" t="s">
        <v>287</v>
      </c>
      <c r="G54" s="48"/>
      <c r="H54" s="50">
        <f>SUMIFS(Data!$I$3:$I$278,Data!$C$3:$C$278,$A54)</f>
        <v>0</v>
      </c>
      <c r="I54" s="50">
        <f t="shared" si="2"/>
        <v>6</v>
      </c>
      <c r="J54" s="50" t="str">
        <f t="shared" si="3"/>
        <v>OK</v>
      </c>
    </row>
    <row r="55" spans="1:10" x14ac:dyDescent="0.35">
      <c r="A55" s="42" t="s">
        <v>251</v>
      </c>
      <c r="B55" s="30">
        <v>8</v>
      </c>
      <c r="C55" s="42" t="s">
        <v>213</v>
      </c>
      <c r="D55" s="48">
        <v>3</v>
      </c>
      <c r="E55" s="49">
        <v>46210</v>
      </c>
      <c r="F55" s="48" t="s">
        <v>287</v>
      </c>
      <c r="G55" s="48"/>
      <c r="H55" s="50">
        <f>SUMIFS(Data!$I$3:$I$278,Data!$C$3:$C$278,$A55)</f>
        <v>0</v>
      </c>
      <c r="I55" s="50">
        <f t="shared" si="2"/>
        <v>8</v>
      </c>
      <c r="J55" s="50" t="str">
        <f t="shared" si="3"/>
        <v>OK</v>
      </c>
    </row>
    <row r="56" spans="1:10" x14ac:dyDescent="0.35">
      <c r="A56" s="42" t="s">
        <v>224</v>
      </c>
      <c r="B56" s="30">
        <v>2</v>
      </c>
      <c r="C56" s="42" t="s">
        <v>222</v>
      </c>
      <c r="D56" s="48">
        <v>1</v>
      </c>
      <c r="E56" s="49">
        <v>46210</v>
      </c>
      <c r="F56" s="48" t="s">
        <v>287</v>
      </c>
      <c r="G56" s="48"/>
      <c r="H56" s="50">
        <f>SUMIFS(Data!$I$3:$I$278,Data!$C$3:$C$278,$A56)</f>
        <v>0</v>
      </c>
      <c r="I56" s="50">
        <f t="shared" si="2"/>
        <v>2</v>
      </c>
      <c r="J56" s="50" t="str">
        <f t="shared" si="3"/>
        <v>OK</v>
      </c>
    </row>
    <row r="57" spans="1:10" x14ac:dyDescent="0.35">
      <c r="A57" s="42" t="s">
        <v>261</v>
      </c>
      <c r="B57" s="30">
        <v>500</v>
      </c>
      <c r="C57" s="42" t="s">
        <v>230</v>
      </c>
      <c r="D57" s="48">
        <v>250</v>
      </c>
      <c r="E57" s="49">
        <v>46210</v>
      </c>
      <c r="F57" s="48" t="s">
        <v>287</v>
      </c>
      <c r="G57" s="48"/>
      <c r="H57" s="50">
        <f>SUMIFS(Data!$I$3:$I$278,Data!$C$3:$C$278,$A57)</f>
        <v>0</v>
      </c>
      <c r="I57" s="50">
        <f t="shared" si="2"/>
        <v>500</v>
      </c>
      <c r="J57" s="50" t="str">
        <f t="shared" si="3"/>
        <v>OK</v>
      </c>
    </row>
    <row r="58" spans="1:10" x14ac:dyDescent="0.35">
      <c r="A58" s="42" t="s">
        <v>274</v>
      </c>
      <c r="B58" s="30">
        <v>0</v>
      </c>
      <c r="C58" s="42" t="s">
        <v>213</v>
      </c>
      <c r="D58" s="48">
        <v>3</v>
      </c>
      <c r="E58" s="49">
        <v>46210</v>
      </c>
      <c r="F58" s="48" t="s">
        <v>287</v>
      </c>
      <c r="G58" s="48"/>
      <c r="H58" s="50">
        <f>SUMIFS(Data!$I$3:$I$278,Data!$C$3:$C$278,$A58)</f>
        <v>0</v>
      </c>
      <c r="I58" s="50">
        <f t="shared" si="2"/>
        <v>0</v>
      </c>
      <c r="J58" s="50" t="str">
        <f t="shared" si="3"/>
        <v>LOW - BUY</v>
      </c>
    </row>
    <row r="59" spans="1:10" x14ac:dyDescent="0.35">
      <c r="A59" s="42" t="s">
        <v>260</v>
      </c>
      <c r="B59" s="30">
        <v>0</v>
      </c>
      <c r="C59" s="42" t="s">
        <v>230</v>
      </c>
      <c r="D59" s="48">
        <v>250</v>
      </c>
      <c r="E59" s="49">
        <v>46210</v>
      </c>
      <c r="F59" s="48" t="s">
        <v>287</v>
      </c>
      <c r="G59" s="48"/>
      <c r="H59" s="50">
        <f>SUMIFS(Data!$I$3:$I$278,Data!$C$3:$C$278,$A59)</f>
        <v>0</v>
      </c>
      <c r="I59" s="50">
        <f t="shared" si="2"/>
        <v>0</v>
      </c>
      <c r="J59" s="50" t="str">
        <f t="shared" si="3"/>
        <v>LOW - BUY</v>
      </c>
    </row>
    <row r="60" spans="1:10" x14ac:dyDescent="0.35">
      <c r="A60" s="42" t="s">
        <v>253</v>
      </c>
      <c r="B60" s="30">
        <v>6</v>
      </c>
      <c r="C60" s="42" t="s">
        <v>213</v>
      </c>
      <c r="D60" s="48">
        <v>3</v>
      </c>
      <c r="E60" s="49">
        <v>46210</v>
      </c>
      <c r="F60" s="48" t="s">
        <v>287</v>
      </c>
      <c r="G60" s="48"/>
      <c r="H60" s="50">
        <f>SUMIFS(Data!$I$3:$I$278,Data!$C$3:$C$278,$A60)</f>
        <v>0</v>
      </c>
      <c r="I60" s="50">
        <f t="shared" si="2"/>
        <v>6</v>
      </c>
      <c r="J60" s="50" t="str">
        <f t="shared" si="3"/>
        <v>OK</v>
      </c>
    </row>
    <row r="61" spans="1:10" x14ac:dyDescent="0.35">
      <c r="A61" s="42" t="s">
        <v>255</v>
      </c>
      <c r="B61" s="30">
        <v>30</v>
      </c>
      <c r="C61" s="42" t="s">
        <v>222</v>
      </c>
      <c r="D61" s="48">
        <v>4</v>
      </c>
      <c r="E61" s="49">
        <v>46210</v>
      </c>
      <c r="F61" s="48" t="s">
        <v>287</v>
      </c>
      <c r="G61" s="48"/>
      <c r="H61" s="50">
        <f>SUMIFS(Data!$I$3:$I$278,Data!$C$3:$C$278,$A61)</f>
        <v>0</v>
      </c>
      <c r="I61" s="50">
        <f t="shared" si="2"/>
        <v>30</v>
      </c>
      <c r="J61" s="50" t="str">
        <f t="shared" si="3"/>
        <v>OK</v>
      </c>
    </row>
    <row r="62" spans="1:10" x14ac:dyDescent="0.35">
      <c r="A62" s="42" t="s">
        <v>254</v>
      </c>
      <c r="B62" s="30">
        <v>5</v>
      </c>
      <c r="C62" s="42" t="s">
        <v>213</v>
      </c>
      <c r="D62" s="48">
        <v>2</v>
      </c>
      <c r="E62" s="49">
        <v>46210</v>
      </c>
      <c r="F62" s="48" t="s">
        <v>287</v>
      </c>
      <c r="G62" s="48"/>
      <c r="H62" s="50">
        <f>SUMIFS(Data!$I$3:$I$278,Data!$C$3:$C$278,$A62)</f>
        <v>0</v>
      </c>
      <c r="I62" s="50">
        <f t="shared" si="2"/>
        <v>5</v>
      </c>
      <c r="J62" s="50" t="str">
        <f t="shared" si="3"/>
        <v>OK</v>
      </c>
    </row>
    <row r="63" spans="1:10" x14ac:dyDescent="0.35">
      <c r="A63" s="42" t="s">
        <v>269</v>
      </c>
      <c r="B63" s="30">
        <v>20</v>
      </c>
      <c r="C63" s="42" t="s">
        <v>213</v>
      </c>
      <c r="D63" s="48">
        <v>4</v>
      </c>
      <c r="E63" s="49">
        <v>46210</v>
      </c>
      <c r="F63" s="48" t="s">
        <v>287</v>
      </c>
      <c r="G63" s="48"/>
      <c r="H63" s="50">
        <f>SUMIFS(Data!$I$3:$I$278,Data!$C$3:$C$278,$A63)</f>
        <v>0</v>
      </c>
      <c r="I63" s="50">
        <f t="shared" si="2"/>
        <v>20</v>
      </c>
      <c r="J63" s="50" t="str">
        <f t="shared" si="3"/>
        <v>OK</v>
      </c>
    </row>
    <row r="64" spans="1:10" x14ac:dyDescent="0.35">
      <c r="A64" s="42" t="s">
        <v>240</v>
      </c>
      <c r="B64" s="30">
        <v>500</v>
      </c>
      <c r="C64" s="42" t="s">
        <v>230</v>
      </c>
      <c r="D64" s="48">
        <v>250</v>
      </c>
      <c r="E64" s="49">
        <v>46210</v>
      </c>
      <c r="F64" s="48" t="s">
        <v>287</v>
      </c>
      <c r="G64" s="48"/>
      <c r="H64" s="50">
        <f>SUMIFS(Data!$I$3:$I$278,Data!$C$3:$C$278,$A64)</f>
        <v>0</v>
      </c>
      <c r="I64" s="50">
        <f t="shared" si="2"/>
        <v>500</v>
      </c>
      <c r="J64" s="50" t="str">
        <f t="shared" si="3"/>
        <v>OK</v>
      </c>
    </row>
    <row r="65" spans="1:10" x14ac:dyDescent="0.35">
      <c r="A65" s="42" t="s">
        <v>243</v>
      </c>
      <c r="B65" s="30">
        <v>250</v>
      </c>
      <c r="C65" s="42" t="s">
        <v>230</v>
      </c>
      <c r="D65" s="48">
        <v>250</v>
      </c>
      <c r="E65" s="49">
        <v>46210</v>
      </c>
      <c r="F65" s="48" t="s">
        <v>287</v>
      </c>
      <c r="G65" s="48"/>
      <c r="H65" s="50">
        <f>SUMIFS(Data!$I$3:$I$278,Data!$C$3:$C$278,$A65)</f>
        <v>0</v>
      </c>
      <c r="I65" s="50">
        <f t="shared" si="2"/>
        <v>250</v>
      </c>
      <c r="J65" s="50" t="str">
        <f t="shared" si="3"/>
        <v>OK</v>
      </c>
    </row>
    <row r="66" spans="1:10" x14ac:dyDescent="0.35">
      <c r="A66" s="42" t="s">
        <v>244</v>
      </c>
      <c r="B66" s="30">
        <v>0</v>
      </c>
      <c r="C66" s="42" t="s">
        <v>230</v>
      </c>
      <c r="D66" s="48">
        <v>250</v>
      </c>
      <c r="E66" s="49">
        <v>46210</v>
      </c>
      <c r="F66" s="48" t="s">
        <v>287</v>
      </c>
      <c r="G66" s="48"/>
      <c r="H66" s="50">
        <f>SUMIFS(Data!$I$3:$I$278,Data!$C$3:$C$278,$A66)</f>
        <v>0</v>
      </c>
      <c r="I66" s="50">
        <f t="shared" si="2"/>
        <v>0</v>
      </c>
      <c r="J66" s="50" t="str">
        <f t="shared" si="3"/>
        <v>LOW - BUY</v>
      </c>
    </row>
    <row r="67" spans="1:10" x14ac:dyDescent="0.35">
      <c r="A67" s="42" t="s">
        <v>271</v>
      </c>
      <c r="B67" s="30">
        <v>300</v>
      </c>
      <c r="C67" s="42" t="s">
        <v>230</v>
      </c>
      <c r="D67" s="48">
        <v>250</v>
      </c>
      <c r="E67" s="49">
        <v>46210</v>
      </c>
      <c r="F67" s="48" t="s">
        <v>287</v>
      </c>
      <c r="G67" s="48"/>
      <c r="H67" s="50">
        <f>SUMIFS(Data!$I$3:$I$278,Data!$C$3:$C$278,$A67)</f>
        <v>0</v>
      </c>
      <c r="I67" s="50">
        <f t="shared" si="2"/>
        <v>300</v>
      </c>
      <c r="J67" s="50" t="str">
        <f t="shared" si="3"/>
        <v>OK</v>
      </c>
    </row>
    <row r="68" spans="1:10" x14ac:dyDescent="0.35">
      <c r="A68" s="42" t="s">
        <v>229</v>
      </c>
      <c r="B68" s="30">
        <v>0</v>
      </c>
      <c r="C68" s="42" t="s">
        <v>230</v>
      </c>
      <c r="D68" s="48">
        <v>250</v>
      </c>
      <c r="E68" s="49">
        <v>46210</v>
      </c>
      <c r="F68" s="48" t="s">
        <v>287</v>
      </c>
      <c r="G68" s="48"/>
      <c r="H68" s="50">
        <f>SUMIFS(Data!$I$3:$I$278,Data!$C$3:$C$278,$A68)</f>
        <v>0</v>
      </c>
      <c r="I68" s="50">
        <f t="shared" si="2"/>
        <v>0</v>
      </c>
      <c r="J68" s="50" t="str">
        <f t="shared" si="3"/>
        <v>LOW - BUY</v>
      </c>
    </row>
  </sheetData>
  <mergeCells count="3">
    <mergeCell ref="C3:E3"/>
    <mergeCell ref="F3:I3"/>
    <mergeCell ref="C4:J4"/>
  </mergeCells>
  <conditionalFormatting sqref="A7:A68">
    <cfRule type="expression" dxfId="7" priority="3">
      <formula>$J7="LOW - BUY"</formula>
    </cfRule>
  </conditionalFormatting>
  <conditionalFormatting sqref="J7:J68">
    <cfRule type="cellIs" dxfId="6" priority="2" operator="equal">
      <formula>"LOW - BUY"</formula>
    </cfRule>
  </conditionalFormatting>
  <dataValidations count="1">
    <dataValidation type="list" allowBlank="1" sqref="F7:F68" xr:uid="{00000000-0002-0000-0400-000001000000}">
      <formula1>"Typed,Photo"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Lists!$B$2:$B$23</xm:f>
          </x14:formula1>
          <x14:formula2>
            <xm:f>0</xm:f>
          </x14:formula2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06292"/>
  </sheetPr>
  <dimension ref="A1:I69"/>
  <sheetViews>
    <sheetView zoomScaleNormal="100" workbookViewId="0">
      <pane ySplit="7" topLeftCell="A8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6" customWidth="1"/>
    <col min="3" max="3" width="20" customWidth="1"/>
    <col min="4" max="4" width="7" customWidth="1"/>
    <col min="5" max="5" width="16" customWidth="1"/>
    <col min="6" max="7" width="13" customWidth="1"/>
    <col min="8" max="8" width="8" customWidth="1"/>
    <col min="9" max="9" width="40" customWidth="1"/>
  </cols>
  <sheetData>
    <row r="1" spans="1:9" ht="20" x14ac:dyDescent="0.4">
      <c r="A1" s="32" t="s">
        <v>288</v>
      </c>
      <c r="B1" s="14"/>
      <c r="C1" s="14"/>
      <c r="D1" s="14"/>
      <c r="E1" s="14"/>
      <c r="F1" s="14"/>
      <c r="G1" s="14"/>
      <c r="H1" s="14"/>
      <c r="I1" s="14"/>
    </row>
    <row r="2" spans="1:9" x14ac:dyDescent="0.35">
      <c r="A2" s="33" t="s">
        <v>289</v>
      </c>
    </row>
    <row r="3" spans="1:9" ht="15.5" x14ac:dyDescent="0.35">
      <c r="A3" s="51" t="s">
        <v>6</v>
      </c>
      <c r="C3" s="52">
        <f>COUNTIF($H$8:$H$69,"BUY")</f>
        <v>20</v>
      </c>
    </row>
    <row r="4" spans="1:9" ht="27.75" customHeight="1" x14ac:dyDescent="0.35">
      <c r="A4" s="53" t="s">
        <v>290</v>
      </c>
      <c r="C4" s="4" t="str">
        <f t="array" ref="C4">_xlfn.TEXTJOIN(", ",TRUE(),IF($H$8:$H$69="BUY",$B$8:$B$69,""))</f>
        <v>Bitter_Gourd_Karela, Cabbage, Cauliflower_Gobi, Lemon, Mint, Mustard_Greens_Saag, Okra_Bhindi, Spring_Onion, Beef_Boneless, Beef_Shank_with_Bones, Fennel_Seeds, Kashmiri_Red_Chilli_Powder, Nihari_Masala, Chilli_Garlic_Sauce, Fried_Onion, Ginger_Garlic_Paste, Maize_Flour_Makai, Pasta, Masoor_Daal, Red_Kidney_Beans</v>
      </c>
      <c r="D4" s="4"/>
      <c r="E4" s="4"/>
      <c r="F4" s="4"/>
      <c r="G4" s="4"/>
      <c r="H4" s="4"/>
      <c r="I4" s="4"/>
    </row>
    <row r="5" spans="1:9" ht="25.5" customHeight="1" x14ac:dyDescent="0.35">
      <c r="A5" s="34" t="s">
        <v>291</v>
      </c>
      <c r="C5" s="7"/>
      <c r="D5" s="7"/>
      <c r="E5" s="3" t="str">
        <f t="array" ref="E5">IF($C$5="","pick a dish and this lists exactly what to buy for it",IF(SUMPRODUCT((Data!$B$3:$B$278=$C$5)*(Data!$M$3:$M$278&gt;0))=0,"Nothing needed - you have it all!",_xlfn.TEXTJOIN(", ",TRUE(),IF((Data!$B$3:$B$278=$C$5)*(Data!$M$3:$M$278&gt;0),Data!$C$3:$C$278&amp;" ("&amp;TEXT(Data!$M$3:$M$278,"0.##")&amp;" "&amp;Data!$E$3:$E$278&amp;")",""))))</f>
        <v>pick a dish and this lists exactly what to buy for it</v>
      </c>
      <c r="F5" s="3"/>
      <c r="G5" s="3"/>
      <c r="H5" s="3"/>
      <c r="I5" s="3"/>
    </row>
    <row r="7" spans="1:9" x14ac:dyDescent="0.35">
      <c r="A7" s="20" t="s">
        <v>292</v>
      </c>
      <c r="B7" s="20" t="s">
        <v>193</v>
      </c>
      <c r="C7" s="20" t="s">
        <v>293</v>
      </c>
      <c r="D7" s="20" t="s">
        <v>195</v>
      </c>
      <c r="E7" s="20" t="s">
        <v>294</v>
      </c>
      <c r="F7" s="20" t="s">
        <v>295</v>
      </c>
      <c r="G7" s="20" t="s">
        <v>280</v>
      </c>
      <c r="H7" s="20" t="s">
        <v>296</v>
      </c>
      <c r="I7" s="20" t="s">
        <v>297</v>
      </c>
    </row>
    <row r="8" spans="1:9" ht="15.5" x14ac:dyDescent="0.35">
      <c r="A8" s="54" t="s">
        <v>298</v>
      </c>
      <c r="B8" s="55" t="s">
        <v>264</v>
      </c>
      <c r="C8" s="56">
        <f>SUMIFS(Data!$D$3:$D$278,Data!$C$3:$C$278,$B8)</f>
        <v>500</v>
      </c>
      <c r="D8" s="55" t="s">
        <v>230</v>
      </c>
      <c r="E8" s="55" t="s">
        <v>299</v>
      </c>
      <c r="F8" s="56">
        <f>INDEX(Pantry!$I$7:$I$68,MATCH($B8,Pantry!$A$7:$A$68,0))</f>
        <v>0</v>
      </c>
      <c r="G8" s="56">
        <f>INDEX(Pantry!$D$7:$D$68,MATCH($B8,Pantry!$A$7:$A$68,0))</f>
        <v>250</v>
      </c>
      <c r="H8" s="50" t="str">
        <f t="shared" ref="H8:H39" si="0">IF($F8&lt;$G8,"BUY","OK")</f>
        <v>BUY</v>
      </c>
      <c r="I8" s="57" t="s">
        <v>300</v>
      </c>
    </row>
    <row r="9" spans="1:9" ht="15.5" x14ac:dyDescent="0.35">
      <c r="A9" s="54" t="s">
        <v>298</v>
      </c>
      <c r="B9" s="55" t="s">
        <v>259</v>
      </c>
      <c r="C9" s="56">
        <f>SUMIFS(Data!$D$3:$D$278,Data!$C$3:$C$278,$B9)</f>
        <v>200</v>
      </c>
      <c r="D9" s="55" t="s">
        <v>230</v>
      </c>
      <c r="E9" s="55" t="s">
        <v>299</v>
      </c>
      <c r="F9" s="56">
        <f>INDEX(Pantry!$I$7:$I$68,MATCH($B9,Pantry!$A$7:$A$68,0))</f>
        <v>0</v>
      </c>
      <c r="G9" s="56">
        <f>INDEX(Pantry!$D$7:$D$68,MATCH($B9,Pantry!$A$7:$A$68,0))</f>
        <v>100</v>
      </c>
      <c r="H9" s="50" t="str">
        <f t="shared" si="0"/>
        <v>BUY</v>
      </c>
      <c r="I9" s="57" t="s">
        <v>300</v>
      </c>
    </row>
    <row r="10" spans="1:9" ht="15.5" x14ac:dyDescent="0.35">
      <c r="A10" s="54" t="s">
        <v>298</v>
      </c>
      <c r="B10" s="55" t="s">
        <v>256</v>
      </c>
      <c r="C10" s="56">
        <f>SUMIFS(Data!$D$3:$D$278,Data!$C$3:$C$278,$B10)</f>
        <v>3</v>
      </c>
      <c r="D10" s="55" t="s">
        <v>208</v>
      </c>
      <c r="E10" s="55" t="s">
        <v>299</v>
      </c>
      <c r="F10" s="56">
        <f>INDEX(Pantry!$I$7:$I$68,MATCH($B10,Pantry!$A$7:$A$68,0))</f>
        <v>2</v>
      </c>
      <c r="G10" s="56">
        <f>INDEX(Pantry!$D$7:$D$68,MATCH($B10,Pantry!$A$7:$A$68,0))</f>
        <v>1</v>
      </c>
      <c r="H10" s="50" t="str">
        <f t="shared" si="0"/>
        <v>OK</v>
      </c>
      <c r="I10" s="57" t="s">
        <v>300</v>
      </c>
    </row>
    <row r="11" spans="1:9" ht="15.5" x14ac:dyDescent="0.35">
      <c r="A11" s="54" t="s">
        <v>298</v>
      </c>
      <c r="B11" s="55" t="s">
        <v>258</v>
      </c>
      <c r="C11" s="56">
        <f>SUMIFS(Data!$D$3:$D$278,Data!$C$3:$C$278,$B11)</f>
        <v>2</v>
      </c>
      <c r="D11" s="55" t="s">
        <v>208</v>
      </c>
      <c r="E11" s="55" t="s">
        <v>299</v>
      </c>
      <c r="F11" s="56">
        <f>INDEX(Pantry!$I$7:$I$68,MATCH($B11,Pantry!$A$7:$A$68,0))</f>
        <v>3</v>
      </c>
      <c r="G11" s="56">
        <f>INDEX(Pantry!$D$7:$D$68,MATCH($B11,Pantry!$A$7:$A$68,0))</f>
        <v>2</v>
      </c>
      <c r="H11" s="50" t="str">
        <f t="shared" si="0"/>
        <v>OK</v>
      </c>
      <c r="I11" s="57" t="s">
        <v>300</v>
      </c>
    </row>
    <row r="12" spans="1:9" ht="15.5" x14ac:dyDescent="0.35">
      <c r="A12" s="54" t="s">
        <v>298</v>
      </c>
      <c r="B12" s="55" t="s">
        <v>263</v>
      </c>
      <c r="C12" s="56">
        <f>SUMIFS(Data!$D$3:$D$278,Data!$C$3:$C$278,$B12)</f>
        <v>1</v>
      </c>
      <c r="D12" s="55" t="s">
        <v>208</v>
      </c>
      <c r="E12" s="55" t="s">
        <v>299</v>
      </c>
      <c r="F12" s="56">
        <f>INDEX(Pantry!$I$7:$I$68,MATCH($B12,Pantry!$A$7:$A$68,0))</f>
        <v>0</v>
      </c>
      <c r="G12" s="56">
        <f>INDEX(Pantry!$D$7:$D$68,MATCH($B12,Pantry!$A$7:$A$68,0))</f>
        <v>1</v>
      </c>
      <c r="H12" s="50" t="str">
        <f t="shared" si="0"/>
        <v>BUY</v>
      </c>
      <c r="I12" s="57" t="s">
        <v>300</v>
      </c>
    </row>
    <row r="13" spans="1:9" ht="15.5" x14ac:dyDescent="0.35">
      <c r="A13" s="54" t="s">
        <v>298</v>
      </c>
      <c r="B13" s="55" t="s">
        <v>241</v>
      </c>
      <c r="C13" s="56">
        <f>SUMIFS(Data!$D$3:$D$278,Data!$C$3:$C$278,$B13)</f>
        <v>6</v>
      </c>
      <c r="D13" s="55" t="s">
        <v>242</v>
      </c>
      <c r="E13" s="55" t="s">
        <v>299</v>
      </c>
      <c r="F13" s="56">
        <f>INDEX(Pantry!$I$7:$I$68,MATCH($B13,Pantry!$A$7:$A$68,0))</f>
        <v>4</v>
      </c>
      <c r="G13" s="56">
        <f>INDEX(Pantry!$D$7:$D$68,MATCH($B13,Pantry!$A$7:$A$68,0))</f>
        <v>2</v>
      </c>
      <c r="H13" s="50" t="str">
        <f t="shared" si="0"/>
        <v>OK</v>
      </c>
      <c r="I13" s="57" t="s">
        <v>300</v>
      </c>
    </row>
    <row r="14" spans="1:9" ht="15.5" x14ac:dyDescent="0.35">
      <c r="A14" s="54" t="s">
        <v>298</v>
      </c>
      <c r="B14" s="55" t="s">
        <v>218</v>
      </c>
      <c r="C14" s="56">
        <f>SUMIFS(Data!$D$3:$D$278,Data!$C$3:$C$278,$B14)</f>
        <v>6.5</v>
      </c>
      <c r="D14" s="55" t="s">
        <v>217</v>
      </c>
      <c r="E14" s="55" t="s">
        <v>299</v>
      </c>
      <c r="F14" s="56">
        <f>INDEX(Pantry!$I$7:$I$68,MATCH($B14,Pantry!$A$7:$A$68,0))</f>
        <v>2</v>
      </c>
      <c r="G14" s="56">
        <f>INDEX(Pantry!$D$7:$D$68,MATCH($B14,Pantry!$A$7:$A$68,0))</f>
        <v>1</v>
      </c>
      <c r="H14" s="50" t="str">
        <f t="shared" si="0"/>
        <v>OK</v>
      </c>
      <c r="I14" s="57" t="s">
        <v>300</v>
      </c>
    </row>
    <row r="15" spans="1:9" ht="15.5" x14ac:dyDescent="0.35">
      <c r="A15" s="54" t="s">
        <v>298</v>
      </c>
      <c r="B15" s="55" t="s">
        <v>235</v>
      </c>
      <c r="C15" s="56">
        <f>SUMIFS(Data!$D$3:$D$278,Data!$C$3:$C$278,$B15)</f>
        <v>9</v>
      </c>
      <c r="D15" s="55" t="s">
        <v>236</v>
      </c>
      <c r="E15" s="55" t="s">
        <v>299</v>
      </c>
      <c r="F15" s="56">
        <f>INDEX(Pantry!$I$7:$I$68,MATCH($B15,Pantry!$A$7:$A$68,0))</f>
        <v>3</v>
      </c>
      <c r="G15" s="56">
        <f>INDEX(Pantry!$D$7:$D$68,MATCH($B15,Pantry!$A$7:$A$68,0))</f>
        <v>2</v>
      </c>
      <c r="H15" s="50" t="str">
        <f t="shared" si="0"/>
        <v>OK</v>
      </c>
      <c r="I15" s="57" t="s">
        <v>300</v>
      </c>
    </row>
    <row r="16" spans="1:9" ht="15.5" x14ac:dyDescent="0.35">
      <c r="A16" s="54" t="s">
        <v>298</v>
      </c>
      <c r="B16" s="55" t="s">
        <v>219</v>
      </c>
      <c r="C16" s="56">
        <f>SUMIFS(Data!$D$3:$D$278,Data!$C$3:$C$278,$B16)</f>
        <v>54</v>
      </c>
      <c r="D16" s="55" t="s">
        <v>208</v>
      </c>
      <c r="E16" s="55" t="s">
        <v>299</v>
      </c>
      <c r="F16" s="56">
        <f>INDEX(Pantry!$I$7:$I$68,MATCH($B16,Pantry!$A$7:$A$68,0))</f>
        <v>10</v>
      </c>
      <c r="G16" s="56">
        <f>INDEX(Pantry!$D$7:$D$68,MATCH($B16,Pantry!$A$7:$A$68,0))</f>
        <v>5</v>
      </c>
      <c r="H16" s="50" t="str">
        <f t="shared" si="0"/>
        <v>OK</v>
      </c>
      <c r="I16" s="57" t="s">
        <v>300</v>
      </c>
    </row>
    <row r="17" spans="1:9" ht="15.5" x14ac:dyDescent="0.35">
      <c r="A17" s="54" t="s">
        <v>298</v>
      </c>
      <c r="B17" s="55" t="s">
        <v>220</v>
      </c>
      <c r="C17" s="56">
        <f>SUMIFS(Data!$D$3:$D$278,Data!$C$3:$C$278,$B17)</f>
        <v>5</v>
      </c>
      <c r="D17" s="55" t="s">
        <v>208</v>
      </c>
      <c r="E17" s="55" t="s">
        <v>299</v>
      </c>
      <c r="F17" s="56">
        <f>INDEX(Pantry!$I$7:$I$68,MATCH($B17,Pantry!$A$7:$A$68,0))</f>
        <v>1</v>
      </c>
      <c r="G17" s="56">
        <f>INDEX(Pantry!$D$7:$D$68,MATCH($B17,Pantry!$A$7:$A$68,0))</f>
        <v>2</v>
      </c>
      <c r="H17" s="50" t="str">
        <f t="shared" si="0"/>
        <v>BUY</v>
      </c>
      <c r="I17" s="57" t="s">
        <v>300</v>
      </c>
    </row>
    <row r="18" spans="1:9" ht="15.5" x14ac:dyDescent="0.35">
      <c r="A18" s="54" t="s">
        <v>298</v>
      </c>
      <c r="B18" s="55" t="s">
        <v>216</v>
      </c>
      <c r="C18" s="56">
        <f>SUMIFS(Data!$D$3:$D$278,Data!$C$3:$C$278,$B18)</f>
        <v>1.5</v>
      </c>
      <c r="D18" s="55" t="s">
        <v>217</v>
      </c>
      <c r="E18" s="55" t="s">
        <v>299</v>
      </c>
      <c r="F18" s="56">
        <f>INDEX(Pantry!$I$7:$I$68,MATCH($B18,Pantry!$A$7:$A$68,0))</f>
        <v>0</v>
      </c>
      <c r="G18" s="56">
        <f>INDEX(Pantry!$D$7:$D$68,MATCH($B18,Pantry!$A$7:$A$68,0))</f>
        <v>1</v>
      </c>
      <c r="H18" s="50" t="str">
        <f t="shared" si="0"/>
        <v>BUY</v>
      </c>
      <c r="I18" s="57" t="s">
        <v>300</v>
      </c>
    </row>
    <row r="19" spans="1:9" ht="15.5" x14ac:dyDescent="0.35">
      <c r="A19" s="54" t="s">
        <v>298</v>
      </c>
      <c r="B19" s="55" t="s">
        <v>272</v>
      </c>
      <c r="C19" s="56">
        <f>SUMIFS(Data!$D$3:$D$278,Data!$C$3:$C$278,$B19)</f>
        <v>3</v>
      </c>
      <c r="D19" s="55" t="s">
        <v>217</v>
      </c>
      <c r="E19" s="55" t="s">
        <v>299</v>
      </c>
      <c r="F19" s="56">
        <f>INDEX(Pantry!$I$7:$I$68,MATCH($B19,Pantry!$A$7:$A$68,0))</f>
        <v>0</v>
      </c>
      <c r="G19" s="56">
        <f>INDEX(Pantry!$D$7:$D$68,MATCH($B19,Pantry!$A$7:$A$68,0))</f>
        <v>2</v>
      </c>
      <c r="H19" s="50" t="str">
        <f t="shared" si="0"/>
        <v>BUY</v>
      </c>
      <c r="I19" s="57" t="s">
        <v>300</v>
      </c>
    </row>
    <row r="20" spans="1:9" ht="15.5" x14ac:dyDescent="0.35">
      <c r="A20" s="54" t="s">
        <v>298</v>
      </c>
      <c r="B20" s="55" t="s">
        <v>262</v>
      </c>
      <c r="C20" s="56">
        <f>SUMIFS(Data!$D$3:$D$278,Data!$C$3:$C$278,$B20)</f>
        <v>500</v>
      </c>
      <c r="D20" s="55" t="s">
        <v>230</v>
      </c>
      <c r="E20" s="55" t="s">
        <v>299</v>
      </c>
      <c r="F20" s="56">
        <f>INDEX(Pantry!$I$7:$I$68,MATCH($B20,Pantry!$A$7:$A$68,0))</f>
        <v>0</v>
      </c>
      <c r="G20" s="56">
        <f>INDEX(Pantry!$D$7:$D$68,MATCH($B20,Pantry!$A$7:$A$68,0))</f>
        <v>250</v>
      </c>
      <c r="H20" s="50" t="str">
        <f t="shared" si="0"/>
        <v>BUY</v>
      </c>
      <c r="I20" s="57" t="s">
        <v>300</v>
      </c>
    </row>
    <row r="21" spans="1:9" ht="15.5" x14ac:dyDescent="0.35">
      <c r="A21" s="54" t="s">
        <v>298</v>
      </c>
      <c r="B21" s="55" t="s">
        <v>207</v>
      </c>
      <c r="C21" s="56">
        <f>SUMIFS(Data!$D$3:$D$278,Data!$C$3:$C$278,$B21)</f>
        <v>31</v>
      </c>
      <c r="D21" s="55" t="s">
        <v>208</v>
      </c>
      <c r="E21" s="55" t="s">
        <v>299</v>
      </c>
      <c r="F21" s="56">
        <f>INDEX(Pantry!$I$7:$I$68,MATCH($B21,Pantry!$A$7:$A$68,0))</f>
        <v>6</v>
      </c>
      <c r="G21" s="56">
        <f>INDEX(Pantry!$D$7:$D$68,MATCH($B21,Pantry!$A$7:$A$68,0))</f>
        <v>2</v>
      </c>
      <c r="H21" s="50" t="str">
        <f t="shared" si="0"/>
        <v>OK</v>
      </c>
      <c r="I21" s="57" t="s">
        <v>300</v>
      </c>
    </row>
    <row r="22" spans="1:9" ht="15.5" x14ac:dyDescent="0.35">
      <c r="A22" s="54" t="s">
        <v>298</v>
      </c>
      <c r="B22" s="55" t="s">
        <v>246</v>
      </c>
      <c r="C22" s="56">
        <f>SUMIFS(Data!$D$3:$D$278,Data!$C$3:$C$278,$B22)</f>
        <v>16</v>
      </c>
      <c r="D22" s="55" t="s">
        <v>208</v>
      </c>
      <c r="E22" s="55" t="s">
        <v>299</v>
      </c>
      <c r="F22" s="56">
        <f>INDEX(Pantry!$I$7:$I$68,MATCH($B22,Pantry!$A$7:$A$68,0))</f>
        <v>5</v>
      </c>
      <c r="G22" s="56">
        <f>INDEX(Pantry!$D$7:$D$68,MATCH($B22,Pantry!$A$7:$A$68,0))</f>
        <v>3</v>
      </c>
      <c r="H22" s="50" t="str">
        <f t="shared" si="0"/>
        <v>OK</v>
      </c>
      <c r="I22" s="57" t="s">
        <v>300</v>
      </c>
    </row>
    <row r="23" spans="1:9" ht="15.5" x14ac:dyDescent="0.35">
      <c r="A23" s="54" t="s">
        <v>298</v>
      </c>
      <c r="B23" s="55" t="s">
        <v>273</v>
      </c>
      <c r="C23" s="56">
        <f>SUMIFS(Data!$D$3:$D$278,Data!$C$3:$C$278,$B23)</f>
        <v>2</v>
      </c>
      <c r="D23" s="55" t="s">
        <v>217</v>
      </c>
      <c r="E23" s="55" t="s">
        <v>299</v>
      </c>
      <c r="F23" s="56">
        <f>INDEX(Pantry!$I$7:$I$68,MATCH($B23,Pantry!$A$7:$A$68,0))</f>
        <v>1</v>
      </c>
      <c r="G23" s="56">
        <f>INDEX(Pantry!$D$7:$D$68,MATCH($B23,Pantry!$A$7:$A$68,0))</f>
        <v>1</v>
      </c>
      <c r="H23" s="50" t="str">
        <f t="shared" si="0"/>
        <v>OK</v>
      </c>
      <c r="I23" s="57" t="s">
        <v>300</v>
      </c>
    </row>
    <row r="24" spans="1:9" ht="15.5" x14ac:dyDescent="0.35">
      <c r="A24" s="54" t="s">
        <v>298</v>
      </c>
      <c r="B24" s="55" t="s">
        <v>257</v>
      </c>
      <c r="C24" s="56">
        <f>SUMIFS(Data!$D$3:$D$278,Data!$C$3:$C$278,$B24)</f>
        <v>7</v>
      </c>
      <c r="D24" s="55" t="s">
        <v>208</v>
      </c>
      <c r="E24" s="55" t="s">
        <v>299</v>
      </c>
      <c r="F24" s="56">
        <f>INDEX(Pantry!$I$7:$I$68,MATCH($B24,Pantry!$A$7:$A$68,0))</f>
        <v>0</v>
      </c>
      <c r="G24" s="56">
        <f>INDEX(Pantry!$D$7:$D$68,MATCH($B24,Pantry!$A$7:$A$68,0))</f>
        <v>2</v>
      </c>
      <c r="H24" s="50" t="str">
        <f t="shared" si="0"/>
        <v>BUY</v>
      </c>
      <c r="I24" s="57" t="s">
        <v>300</v>
      </c>
    </row>
    <row r="25" spans="1:9" ht="15.5" x14ac:dyDescent="0.35">
      <c r="A25" s="54" t="s">
        <v>298</v>
      </c>
      <c r="B25" s="55" t="s">
        <v>209</v>
      </c>
      <c r="C25" s="56">
        <f>SUMIFS(Data!$D$3:$D$278,Data!$C$3:$C$278,$B25)</f>
        <v>28</v>
      </c>
      <c r="D25" s="55" t="s">
        <v>208</v>
      </c>
      <c r="E25" s="55" t="s">
        <v>299</v>
      </c>
      <c r="F25" s="56">
        <f>INDEX(Pantry!$I$7:$I$68,MATCH($B25,Pantry!$A$7:$A$68,0))</f>
        <v>4</v>
      </c>
      <c r="G25" s="56">
        <f>INDEX(Pantry!$D$7:$D$68,MATCH($B25,Pantry!$A$7:$A$68,0))</f>
        <v>3</v>
      </c>
      <c r="H25" s="50" t="str">
        <f t="shared" si="0"/>
        <v>OK</v>
      </c>
      <c r="I25" s="57" t="s">
        <v>300</v>
      </c>
    </row>
    <row r="26" spans="1:9" ht="15.5" x14ac:dyDescent="0.35">
      <c r="A26" s="54" t="s">
        <v>298</v>
      </c>
      <c r="B26" s="58" t="s">
        <v>245</v>
      </c>
      <c r="C26" s="59">
        <f>SUMIFS(Data!$D$3:$D$278,Data!$C$3:$C$278,$B26)</f>
        <v>0.75</v>
      </c>
      <c r="D26" s="58" t="s">
        <v>205</v>
      </c>
      <c r="E26" s="58" t="s">
        <v>301</v>
      </c>
      <c r="F26" s="59">
        <f>INDEX(Pantry!$I$7:$I$68,MATCH($B26,Pantry!$A$7:$A$68,0))</f>
        <v>0</v>
      </c>
      <c r="G26" s="59">
        <f>INDEX(Pantry!$D$7:$D$68,MATCH($B26,Pantry!$A$7:$A$68,0))</f>
        <v>0.5</v>
      </c>
      <c r="H26" s="50" t="str">
        <f t="shared" si="0"/>
        <v>BUY</v>
      </c>
      <c r="I26" s="57" t="s">
        <v>302</v>
      </c>
    </row>
    <row r="27" spans="1:9" ht="15.5" x14ac:dyDescent="0.35">
      <c r="A27" s="54" t="s">
        <v>298</v>
      </c>
      <c r="B27" s="58" t="s">
        <v>248</v>
      </c>
      <c r="C27" s="59">
        <f>SUMIFS(Data!$D$3:$D$278,Data!$C$3:$C$278,$B27)</f>
        <v>1.75</v>
      </c>
      <c r="D27" s="58" t="s">
        <v>205</v>
      </c>
      <c r="E27" s="58" t="s">
        <v>301</v>
      </c>
      <c r="F27" s="59">
        <f>INDEX(Pantry!$I$7:$I$68,MATCH($B27,Pantry!$A$7:$A$68,0))</f>
        <v>1</v>
      </c>
      <c r="G27" s="59">
        <f>INDEX(Pantry!$D$7:$D$68,MATCH($B27,Pantry!$A$7:$A$68,0))</f>
        <v>0.5</v>
      </c>
      <c r="H27" s="50" t="str">
        <f t="shared" si="0"/>
        <v>OK</v>
      </c>
      <c r="I27" s="57" t="s">
        <v>302</v>
      </c>
    </row>
    <row r="28" spans="1:9" ht="15.5" x14ac:dyDescent="0.35">
      <c r="A28" s="54" t="s">
        <v>298</v>
      </c>
      <c r="B28" s="58" t="s">
        <v>267</v>
      </c>
      <c r="C28" s="59">
        <f>SUMIFS(Data!$D$3:$D$278,Data!$C$3:$C$278,$B28)</f>
        <v>1.5</v>
      </c>
      <c r="D28" s="58" t="s">
        <v>205</v>
      </c>
      <c r="E28" s="58" t="s">
        <v>301</v>
      </c>
      <c r="F28" s="59">
        <f>INDEX(Pantry!$I$7:$I$68,MATCH($B28,Pantry!$A$7:$A$68,0))</f>
        <v>0</v>
      </c>
      <c r="G28" s="59">
        <f>INDEX(Pantry!$D$7:$D$68,MATCH($B28,Pantry!$A$7:$A$68,0))</f>
        <v>1</v>
      </c>
      <c r="H28" s="50" t="str">
        <f t="shared" si="0"/>
        <v>BUY</v>
      </c>
      <c r="I28" s="57" t="s">
        <v>302</v>
      </c>
    </row>
    <row r="29" spans="1:9" ht="15.5" x14ac:dyDescent="0.35">
      <c r="A29" s="54" t="s">
        <v>298</v>
      </c>
      <c r="B29" s="58" t="s">
        <v>204</v>
      </c>
      <c r="C29" s="59">
        <f>SUMIFS(Data!$D$3:$D$278,Data!$C$3:$C$278,$B29)</f>
        <v>5.25</v>
      </c>
      <c r="D29" s="58" t="s">
        <v>205</v>
      </c>
      <c r="E29" s="58" t="s">
        <v>301</v>
      </c>
      <c r="F29" s="59">
        <f>INDEX(Pantry!$I$7:$I$68,MATCH($B29,Pantry!$A$7:$A$68,0))</f>
        <v>1</v>
      </c>
      <c r="G29" s="59">
        <f>INDEX(Pantry!$D$7:$D$68,MATCH($B29,Pantry!$A$7:$A$68,0))</f>
        <v>1</v>
      </c>
      <c r="H29" s="50" t="str">
        <f t="shared" si="0"/>
        <v>OK</v>
      </c>
      <c r="I29" s="57" t="s">
        <v>302</v>
      </c>
    </row>
    <row r="30" spans="1:9" ht="15.5" x14ac:dyDescent="0.35">
      <c r="A30" s="54" t="s">
        <v>298</v>
      </c>
      <c r="B30" s="60" t="s">
        <v>238</v>
      </c>
      <c r="C30" s="61">
        <f>SUMIFS(Data!$D$3:$D$278,Data!$C$3:$C$278,$B30)</f>
        <v>8</v>
      </c>
      <c r="D30" s="60" t="s">
        <v>213</v>
      </c>
      <c r="E30" s="60" t="s">
        <v>303</v>
      </c>
      <c r="F30" s="61">
        <f>INDEX(Pantry!$I$7:$I$68,MATCH($B30,Pantry!$A$7:$A$68,0))</f>
        <v>8</v>
      </c>
      <c r="G30" s="61">
        <f>INDEX(Pantry!$D$7:$D$68,MATCH($B30,Pantry!$A$7:$A$68,0))</f>
        <v>2</v>
      </c>
      <c r="H30" s="50" t="str">
        <f t="shared" si="0"/>
        <v>OK</v>
      </c>
      <c r="I30" s="57" t="s">
        <v>304</v>
      </c>
    </row>
    <row r="31" spans="1:9" ht="15.5" x14ac:dyDescent="0.35">
      <c r="A31" s="54" t="s">
        <v>298</v>
      </c>
      <c r="B31" s="60" t="s">
        <v>249</v>
      </c>
      <c r="C31" s="61">
        <f>SUMIFS(Data!$D$3:$D$278,Data!$C$3:$C$278,$B31)</f>
        <v>5</v>
      </c>
      <c r="D31" s="60" t="s">
        <v>208</v>
      </c>
      <c r="E31" s="60" t="s">
        <v>303</v>
      </c>
      <c r="F31" s="61">
        <f>INDEX(Pantry!$I$7:$I$68,MATCH($B31,Pantry!$A$7:$A$68,0))</f>
        <v>6</v>
      </c>
      <c r="G31" s="61">
        <f>INDEX(Pantry!$D$7:$D$68,MATCH($B31,Pantry!$A$7:$A$68,0))</f>
        <v>4</v>
      </c>
      <c r="H31" s="50" t="str">
        <f t="shared" si="0"/>
        <v>OK</v>
      </c>
      <c r="I31" s="57" t="s">
        <v>304</v>
      </c>
    </row>
    <row r="32" spans="1:9" ht="15.5" x14ac:dyDescent="0.35">
      <c r="A32" s="54" t="s">
        <v>298</v>
      </c>
      <c r="B32" s="60" t="s">
        <v>210</v>
      </c>
      <c r="C32" s="61">
        <f>SUMIFS(Data!$D$3:$D$278,Data!$C$3:$C$278,$B32)</f>
        <v>4.5</v>
      </c>
      <c r="D32" s="60" t="s">
        <v>211</v>
      </c>
      <c r="E32" s="60" t="s">
        <v>303</v>
      </c>
      <c r="F32" s="61">
        <f>INDEX(Pantry!$I$7:$I$68,MATCH($B32,Pantry!$A$7:$A$68,0))</f>
        <v>2</v>
      </c>
      <c r="G32" s="61">
        <f>INDEX(Pantry!$D$7:$D$68,MATCH($B32,Pantry!$A$7:$A$68,0))</f>
        <v>1</v>
      </c>
      <c r="H32" s="50" t="str">
        <f t="shared" si="0"/>
        <v>OK</v>
      </c>
      <c r="I32" s="57" t="s">
        <v>304</v>
      </c>
    </row>
    <row r="33" spans="1:9" ht="15.5" x14ac:dyDescent="0.35">
      <c r="A33" s="54" t="s">
        <v>298</v>
      </c>
      <c r="B33" s="62" t="s">
        <v>214</v>
      </c>
      <c r="C33" s="63">
        <f>SUMIFS(Data!$D$3:$D$278,Data!$C$3:$C$278,$B33)</f>
        <v>3</v>
      </c>
      <c r="D33" s="62" t="s">
        <v>213</v>
      </c>
      <c r="E33" s="62" t="s">
        <v>305</v>
      </c>
      <c r="F33" s="63">
        <f>INDEX(Pantry!$I$7:$I$68,MATCH($B33,Pantry!$A$7:$A$68,0))</f>
        <v>2</v>
      </c>
      <c r="G33" s="63">
        <f>INDEX(Pantry!$D$7:$D$68,MATCH($B33,Pantry!$A$7:$A$68,0))</f>
        <v>2</v>
      </c>
      <c r="H33" s="50" t="str">
        <f t="shared" si="0"/>
        <v>OK</v>
      </c>
      <c r="I33" s="57" t="s">
        <v>306</v>
      </c>
    </row>
    <row r="34" spans="1:9" ht="15.5" x14ac:dyDescent="0.35">
      <c r="A34" s="54" t="s">
        <v>298</v>
      </c>
      <c r="B34" s="62" t="s">
        <v>237</v>
      </c>
      <c r="C34" s="63">
        <f>SUMIFS(Data!$D$3:$D$278,Data!$C$3:$C$278,$B34)</f>
        <v>4</v>
      </c>
      <c r="D34" s="62" t="s">
        <v>222</v>
      </c>
      <c r="E34" s="62" t="s">
        <v>305</v>
      </c>
      <c r="F34" s="63">
        <f>INDEX(Pantry!$I$7:$I$68,MATCH($B34,Pantry!$A$7:$A$68,0))</f>
        <v>5</v>
      </c>
      <c r="G34" s="63">
        <f>INDEX(Pantry!$D$7:$D$68,MATCH($B34,Pantry!$A$7:$A$68,0))</f>
        <v>2</v>
      </c>
      <c r="H34" s="50" t="str">
        <f t="shared" si="0"/>
        <v>OK</v>
      </c>
      <c r="I34" s="57" t="s">
        <v>306</v>
      </c>
    </row>
    <row r="35" spans="1:9" ht="15.5" x14ac:dyDescent="0.35">
      <c r="A35" s="54" t="s">
        <v>298</v>
      </c>
      <c r="B35" s="62" t="s">
        <v>233</v>
      </c>
      <c r="C35" s="63">
        <f>SUMIFS(Data!$D$3:$D$278,Data!$C$3:$C$278,$B35)</f>
        <v>11</v>
      </c>
      <c r="D35" s="62" t="s">
        <v>222</v>
      </c>
      <c r="E35" s="62" t="s">
        <v>305</v>
      </c>
      <c r="F35" s="63">
        <f>INDEX(Pantry!$I$7:$I$68,MATCH($B35,Pantry!$A$7:$A$68,0))</f>
        <v>12</v>
      </c>
      <c r="G35" s="63">
        <f>INDEX(Pantry!$D$7:$D$68,MATCH($B35,Pantry!$A$7:$A$68,0))</f>
        <v>4</v>
      </c>
      <c r="H35" s="50" t="str">
        <f t="shared" si="0"/>
        <v>OK</v>
      </c>
      <c r="I35" s="57" t="s">
        <v>306</v>
      </c>
    </row>
    <row r="36" spans="1:9" ht="15.5" x14ac:dyDescent="0.35">
      <c r="A36" s="54" t="s">
        <v>298</v>
      </c>
      <c r="B36" s="62" t="s">
        <v>227</v>
      </c>
      <c r="C36" s="63">
        <f>SUMIFS(Data!$D$3:$D$278,Data!$C$3:$C$278,$B36)</f>
        <v>7.5</v>
      </c>
      <c r="D36" s="62" t="s">
        <v>222</v>
      </c>
      <c r="E36" s="62" t="s">
        <v>305</v>
      </c>
      <c r="F36" s="63">
        <f>INDEX(Pantry!$I$7:$I$68,MATCH($B36,Pantry!$A$7:$A$68,0))</f>
        <v>6</v>
      </c>
      <c r="G36" s="63">
        <f>INDEX(Pantry!$D$7:$D$68,MATCH($B36,Pantry!$A$7:$A$68,0))</f>
        <v>2</v>
      </c>
      <c r="H36" s="50" t="str">
        <f t="shared" si="0"/>
        <v>OK</v>
      </c>
      <c r="I36" s="57" t="s">
        <v>306</v>
      </c>
    </row>
    <row r="37" spans="1:9" ht="15.5" x14ac:dyDescent="0.35">
      <c r="A37" s="54" t="s">
        <v>298</v>
      </c>
      <c r="B37" s="62" t="s">
        <v>226</v>
      </c>
      <c r="C37" s="63">
        <f>SUMIFS(Data!$D$3:$D$278,Data!$C$3:$C$278,$B37)</f>
        <v>18.5</v>
      </c>
      <c r="D37" s="62" t="s">
        <v>222</v>
      </c>
      <c r="E37" s="62" t="s">
        <v>305</v>
      </c>
      <c r="F37" s="63">
        <f>INDEX(Pantry!$I$7:$I$68,MATCH($B37,Pantry!$A$7:$A$68,0))</f>
        <v>8</v>
      </c>
      <c r="G37" s="63">
        <f>INDEX(Pantry!$D$7:$D$68,MATCH($B37,Pantry!$A$7:$A$68,0))</f>
        <v>3</v>
      </c>
      <c r="H37" s="50" t="str">
        <f t="shared" si="0"/>
        <v>OK</v>
      </c>
      <c r="I37" s="57" t="s">
        <v>306</v>
      </c>
    </row>
    <row r="38" spans="1:9" ht="15.5" x14ac:dyDescent="0.35">
      <c r="A38" s="54" t="s">
        <v>298</v>
      </c>
      <c r="B38" s="62" t="s">
        <v>265</v>
      </c>
      <c r="C38" s="63">
        <f>SUMIFS(Data!$D$3:$D$278,Data!$C$3:$C$278,$B38)</f>
        <v>1</v>
      </c>
      <c r="D38" s="62" t="s">
        <v>222</v>
      </c>
      <c r="E38" s="62" t="s">
        <v>305</v>
      </c>
      <c r="F38" s="63">
        <f>INDEX(Pantry!$I$7:$I$68,MATCH($B38,Pantry!$A$7:$A$68,0))</f>
        <v>2</v>
      </c>
      <c r="G38" s="63">
        <f>INDEX(Pantry!$D$7:$D$68,MATCH($B38,Pantry!$A$7:$A$68,0))</f>
        <v>1</v>
      </c>
      <c r="H38" s="50" t="str">
        <f t="shared" si="0"/>
        <v>OK</v>
      </c>
      <c r="I38" s="57" t="s">
        <v>306</v>
      </c>
    </row>
    <row r="39" spans="1:9" ht="15.5" x14ac:dyDescent="0.35">
      <c r="A39" s="54" t="s">
        <v>298</v>
      </c>
      <c r="B39" s="62" t="s">
        <v>228</v>
      </c>
      <c r="C39" s="63">
        <f>SUMIFS(Data!$D$3:$D$278,Data!$C$3:$C$278,$B39)</f>
        <v>2</v>
      </c>
      <c r="D39" s="62" t="s">
        <v>222</v>
      </c>
      <c r="E39" s="62" t="s">
        <v>305</v>
      </c>
      <c r="F39" s="63">
        <f>INDEX(Pantry!$I$7:$I$68,MATCH($B39,Pantry!$A$7:$A$68,0))</f>
        <v>1</v>
      </c>
      <c r="G39" s="63">
        <f>INDEX(Pantry!$D$7:$D$68,MATCH($B39,Pantry!$A$7:$A$68,0))</f>
        <v>2</v>
      </c>
      <c r="H39" s="50" t="str">
        <f t="shared" si="0"/>
        <v>BUY</v>
      </c>
      <c r="I39" s="57" t="s">
        <v>306</v>
      </c>
    </row>
    <row r="40" spans="1:9" ht="15.5" x14ac:dyDescent="0.35">
      <c r="A40" s="54" t="s">
        <v>298</v>
      </c>
      <c r="B40" s="62" t="s">
        <v>234</v>
      </c>
      <c r="C40" s="63">
        <f>SUMIFS(Data!$D$3:$D$278,Data!$C$3:$C$278,$B40)</f>
        <v>3</v>
      </c>
      <c r="D40" s="62" t="s">
        <v>222</v>
      </c>
      <c r="E40" s="62" t="s">
        <v>305</v>
      </c>
      <c r="F40" s="63">
        <f>INDEX(Pantry!$I$7:$I$68,MATCH($B40,Pantry!$A$7:$A$68,0))</f>
        <v>10</v>
      </c>
      <c r="G40" s="63">
        <f>INDEX(Pantry!$D$7:$D$68,MATCH($B40,Pantry!$A$7:$A$68,0))</f>
        <v>3</v>
      </c>
      <c r="H40" s="50" t="str">
        <f t="shared" ref="H40:H69" si="1">IF($F40&lt;$G40,"BUY","OK")</f>
        <v>OK</v>
      </c>
      <c r="I40" s="57" t="s">
        <v>306</v>
      </c>
    </row>
    <row r="41" spans="1:9" ht="15.5" x14ac:dyDescent="0.35">
      <c r="A41" s="54" t="s">
        <v>298</v>
      </c>
      <c r="B41" s="62" t="s">
        <v>247</v>
      </c>
      <c r="C41" s="63">
        <f>SUMIFS(Data!$D$3:$D$278,Data!$C$3:$C$278,$B41)</f>
        <v>2</v>
      </c>
      <c r="D41" s="62" t="s">
        <v>222</v>
      </c>
      <c r="E41" s="62" t="s">
        <v>305</v>
      </c>
      <c r="F41" s="63">
        <f>INDEX(Pantry!$I$7:$I$68,MATCH($B41,Pantry!$A$7:$A$68,0))</f>
        <v>0</v>
      </c>
      <c r="G41" s="63">
        <f>INDEX(Pantry!$D$7:$D$68,MATCH($B41,Pantry!$A$7:$A$68,0))</f>
        <v>2</v>
      </c>
      <c r="H41" s="50" t="str">
        <f t="shared" si="1"/>
        <v>BUY</v>
      </c>
      <c r="I41" s="57" t="s">
        <v>306</v>
      </c>
    </row>
    <row r="42" spans="1:9" ht="15.5" x14ac:dyDescent="0.35">
      <c r="A42" s="54" t="s">
        <v>298</v>
      </c>
      <c r="B42" s="62" t="s">
        <v>268</v>
      </c>
      <c r="C42" s="63">
        <f>SUMIFS(Data!$D$3:$D$278,Data!$C$3:$C$278,$B42)</f>
        <v>4</v>
      </c>
      <c r="D42" s="62" t="s">
        <v>213</v>
      </c>
      <c r="E42" s="62" t="s">
        <v>305</v>
      </c>
      <c r="F42" s="63">
        <f>INDEX(Pantry!$I$7:$I$68,MATCH($B42,Pantry!$A$7:$A$68,0))</f>
        <v>0</v>
      </c>
      <c r="G42" s="63">
        <f>INDEX(Pantry!$D$7:$D$68,MATCH($B42,Pantry!$A$7:$A$68,0))</f>
        <v>2</v>
      </c>
      <c r="H42" s="50" t="str">
        <f t="shared" si="1"/>
        <v>BUY</v>
      </c>
      <c r="I42" s="57" t="s">
        <v>306</v>
      </c>
    </row>
    <row r="43" spans="1:9" ht="15.5" x14ac:dyDescent="0.35">
      <c r="A43" s="54" t="s">
        <v>298</v>
      </c>
      <c r="B43" s="62" t="s">
        <v>231</v>
      </c>
      <c r="C43" s="63">
        <f>SUMIFS(Data!$D$3:$D$278,Data!$C$3:$C$278,$B43)</f>
        <v>27</v>
      </c>
      <c r="D43" s="62" t="s">
        <v>222</v>
      </c>
      <c r="E43" s="62" t="s">
        <v>305</v>
      </c>
      <c r="F43" s="63">
        <f>INDEX(Pantry!$I$7:$I$68,MATCH($B43,Pantry!$A$7:$A$68,0))</f>
        <v>20</v>
      </c>
      <c r="G43" s="63">
        <f>INDEX(Pantry!$D$7:$D$68,MATCH($B43,Pantry!$A$7:$A$68,0))</f>
        <v>6</v>
      </c>
      <c r="H43" s="50" t="str">
        <f t="shared" si="1"/>
        <v>OK</v>
      </c>
      <c r="I43" s="57" t="s">
        <v>306</v>
      </c>
    </row>
    <row r="44" spans="1:9" ht="15.5" x14ac:dyDescent="0.35">
      <c r="A44" s="54" t="s">
        <v>298</v>
      </c>
      <c r="B44" s="62" t="s">
        <v>221</v>
      </c>
      <c r="C44" s="63">
        <f>SUMIFS(Data!$D$3:$D$278,Data!$C$3:$C$278,$B44)</f>
        <v>36</v>
      </c>
      <c r="D44" s="62" t="s">
        <v>222</v>
      </c>
      <c r="E44" s="62" t="s">
        <v>305</v>
      </c>
      <c r="F44" s="63">
        <f>INDEX(Pantry!$I$7:$I$68,MATCH($B44,Pantry!$A$7:$A$68,0))</f>
        <v>50</v>
      </c>
      <c r="G44" s="63">
        <f>INDEX(Pantry!$D$7:$D$68,MATCH($B44,Pantry!$A$7:$A$68,0))</f>
        <v>10</v>
      </c>
      <c r="H44" s="50" t="str">
        <f t="shared" si="1"/>
        <v>OK</v>
      </c>
      <c r="I44" s="57" t="s">
        <v>306</v>
      </c>
    </row>
    <row r="45" spans="1:9" ht="15.5" x14ac:dyDescent="0.35">
      <c r="A45" s="54" t="s">
        <v>298</v>
      </c>
      <c r="B45" s="62" t="s">
        <v>232</v>
      </c>
      <c r="C45" s="63">
        <f>SUMIFS(Data!$D$3:$D$278,Data!$C$3:$C$278,$B45)</f>
        <v>8.5</v>
      </c>
      <c r="D45" s="62" t="s">
        <v>222</v>
      </c>
      <c r="E45" s="62" t="s">
        <v>305</v>
      </c>
      <c r="F45" s="63">
        <f>INDEX(Pantry!$I$7:$I$68,MATCH($B45,Pantry!$A$7:$A$68,0))</f>
        <v>15</v>
      </c>
      <c r="G45" s="63">
        <f>INDEX(Pantry!$D$7:$D$68,MATCH($B45,Pantry!$A$7:$A$68,0))</f>
        <v>4</v>
      </c>
      <c r="H45" s="50" t="str">
        <f t="shared" si="1"/>
        <v>OK</v>
      </c>
      <c r="I45" s="57" t="s">
        <v>306</v>
      </c>
    </row>
    <row r="46" spans="1:9" ht="15.5" x14ac:dyDescent="0.35">
      <c r="A46" s="54" t="s">
        <v>298</v>
      </c>
      <c r="B46" s="62" t="s">
        <v>225</v>
      </c>
      <c r="C46" s="63">
        <f>SUMIFS(Data!$D$3:$D$278,Data!$C$3:$C$278,$B46)</f>
        <v>10</v>
      </c>
      <c r="D46" s="62" t="s">
        <v>213</v>
      </c>
      <c r="E46" s="62" t="s">
        <v>305</v>
      </c>
      <c r="F46" s="63">
        <f>INDEX(Pantry!$I$7:$I$68,MATCH($B46,Pantry!$A$7:$A$68,0))</f>
        <v>4</v>
      </c>
      <c r="G46" s="63">
        <f>INDEX(Pantry!$D$7:$D$68,MATCH($B46,Pantry!$A$7:$A$68,0))</f>
        <v>2</v>
      </c>
      <c r="H46" s="50" t="str">
        <f t="shared" si="1"/>
        <v>OK</v>
      </c>
      <c r="I46" s="57" t="s">
        <v>306</v>
      </c>
    </row>
    <row r="47" spans="1:9" ht="15.5" x14ac:dyDescent="0.35">
      <c r="A47" s="54" t="s">
        <v>298</v>
      </c>
      <c r="B47" s="64" t="s">
        <v>206</v>
      </c>
      <c r="C47" s="65">
        <f>SUMIFS(Data!$D$3:$D$278,Data!$C$3:$C$278,$B47)</f>
        <v>2.5</v>
      </c>
      <c r="D47" s="64" t="s">
        <v>205</v>
      </c>
      <c r="E47" s="64" t="s">
        <v>307</v>
      </c>
      <c r="F47" s="65">
        <f>INDEX(Pantry!$I$7:$I$68,MATCH($B47,Pantry!$A$7:$A$68,0))</f>
        <v>3</v>
      </c>
      <c r="G47" s="65">
        <f>INDEX(Pantry!$D$7:$D$68,MATCH($B47,Pantry!$A$7:$A$68,0))</f>
        <v>1</v>
      </c>
      <c r="H47" s="50" t="str">
        <f t="shared" si="1"/>
        <v>OK</v>
      </c>
      <c r="I47" s="57" t="s">
        <v>308</v>
      </c>
    </row>
    <row r="48" spans="1:9" ht="15.5" x14ac:dyDescent="0.35">
      <c r="A48" s="54" t="s">
        <v>298</v>
      </c>
      <c r="B48" s="64" t="s">
        <v>266</v>
      </c>
      <c r="C48" s="65">
        <f>SUMIFS(Data!$D$3:$D$278,Data!$C$3:$C$278,$B48)</f>
        <v>1</v>
      </c>
      <c r="D48" s="64" t="s">
        <v>208</v>
      </c>
      <c r="E48" s="64" t="s">
        <v>307</v>
      </c>
      <c r="F48" s="65">
        <f>INDEX(Pantry!$I$7:$I$68,MATCH($B48,Pantry!$A$7:$A$68,0))</f>
        <v>2</v>
      </c>
      <c r="G48" s="65">
        <f>INDEX(Pantry!$D$7:$D$68,MATCH($B48,Pantry!$A$7:$A$68,0))</f>
        <v>1</v>
      </c>
      <c r="H48" s="50" t="str">
        <f t="shared" si="1"/>
        <v>OK</v>
      </c>
      <c r="I48" s="57" t="s">
        <v>308</v>
      </c>
    </row>
    <row r="49" spans="1:9" ht="15.5" x14ac:dyDescent="0.35">
      <c r="A49" s="54" t="s">
        <v>298</v>
      </c>
      <c r="B49" s="64" t="s">
        <v>252</v>
      </c>
      <c r="C49" s="65">
        <f>SUMIFS(Data!$D$3:$D$278,Data!$C$3:$C$278,$B49)</f>
        <v>6</v>
      </c>
      <c r="D49" s="64" t="s">
        <v>213</v>
      </c>
      <c r="E49" s="64" t="s">
        <v>307</v>
      </c>
      <c r="F49" s="65">
        <f>INDEX(Pantry!$I$7:$I$68,MATCH($B49,Pantry!$A$7:$A$68,0))</f>
        <v>2</v>
      </c>
      <c r="G49" s="65">
        <f>INDEX(Pantry!$D$7:$D$68,MATCH($B49,Pantry!$A$7:$A$68,0))</f>
        <v>3</v>
      </c>
      <c r="H49" s="50" t="str">
        <f t="shared" si="1"/>
        <v>BUY</v>
      </c>
      <c r="I49" s="57" t="s">
        <v>308</v>
      </c>
    </row>
    <row r="50" spans="1:9" ht="15.5" x14ac:dyDescent="0.35">
      <c r="A50" s="54" t="s">
        <v>298</v>
      </c>
      <c r="B50" s="64" t="s">
        <v>215</v>
      </c>
      <c r="C50" s="65">
        <f>SUMIFS(Data!$D$3:$D$278,Data!$C$3:$C$278,$B50)</f>
        <v>11.75</v>
      </c>
      <c r="D50" s="64" t="s">
        <v>211</v>
      </c>
      <c r="E50" s="64" t="s">
        <v>307</v>
      </c>
      <c r="F50" s="65">
        <f>INDEX(Pantry!$I$7:$I$68,MATCH($B50,Pantry!$A$7:$A$68,0))</f>
        <v>5</v>
      </c>
      <c r="G50" s="65">
        <f>INDEX(Pantry!$D$7:$D$68,MATCH($B50,Pantry!$A$7:$A$68,0))</f>
        <v>2</v>
      </c>
      <c r="H50" s="50" t="str">
        <f t="shared" si="1"/>
        <v>OK</v>
      </c>
      <c r="I50" s="57" t="s">
        <v>308</v>
      </c>
    </row>
    <row r="51" spans="1:9" ht="15.5" x14ac:dyDescent="0.35">
      <c r="A51" s="54" t="s">
        <v>298</v>
      </c>
      <c r="B51" s="64" t="s">
        <v>250</v>
      </c>
      <c r="C51" s="65">
        <f>SUMIFS(Data!$D$3:$D$278,Data!$C$3:$C$278,$B51)</f>
        <v>4</v>
      </c>
      <c r="D51" s="64" t="s">
        <v>213</v>
      </c>
      <c r="E51" s="64" t="s">
        <v>307</v>
      </c>
      <c r="F51" s="65">
        <f>INDEX(Pantry!$I$7:$I$68,MATCH($B51,Pantry!$A$7:$A$68,0))</f>
        <v>4</v>
      </c>
      <c r="G51" s="65">
        <f>INDEX(Pantry!$D$7:$D$68,MATCH($B51,Pantry!$A$7:$A$68,0))</f>
        <v>2</v>
      </c>
      <c r="H51" s="50" t="str">
        <f t="shared" si="1"/>
        <v>OK</v>
      </c>
      <c r="I51" s="57" t="s">
        <v>308</v>
      </c>
    </row>
    <row r="52" spans="1:9" ht="15.5" x14ac:dyDescent="0.35">
      <c r="A52" s="54" t="s">
        <v>298</v>
      </c>
      <c r="B52" s="64" t="s">
        <v>223</v>
      </c>
      <c r="C52" s="65">
        <f>SUMIFS(Data!$D$3:$D$278,Data!$C$3:$C$278,$B52)</f>
        <v>2</v>
      </c>
      <c r="D52" s="64" t="s">
        <v>211</v>
      </c>
      <c r="E52" s="64" t="s">
        <v>307</v>
      </c>
      <c r="F52" s="65">
        <f>INDEX(Pantry!$I$7:$I$68,MATCH($B52,Pantry!$A$7:$A$68,0))</f>
        <v>0</v>
      </c>
      <c r="G52" s="65">
        <f>INDEX(Pantry!$D$7:$D$68,MATCH($B52,Pantry!$A$7:$A$68,0))</f>
        <v>1</v>
      </c>
      <c r="H52" s="50" t="str">
        <f t="shared" si="1"/>
        <v>BUY</v>
      </c>
      <c r="I52" s="57" t="s">
        <v>308</v>
      </c>
    </row>
    <row r="53" spans="1:9" ht="15.5" x14ac:dyDescent="0.35">
      <c r="A53" s="54" t="s">
        <v>298</v>
      </c>
      <c r="B53" s="64" t="s">
        <v>239</v>
      </c>
      <c r="C53" s="65">
        <f>SUMIFS(Data!$D$3:$D$278,Data!$C$3:$C$278,$B53)</f>
        <v>14</v>
      </c>
      <c r="D53" s="64" t="s">
        <v>213</v>
      </c>
      <c r="E53" s="64" t="s">
        <v>307</v>
      </c>
      <c r="F53" s="65">
        <f>INDEX(Pantry!$I$7:$I$68,MATCH($B53,Pantry!$A$7:$A$68,0))</f>
        <v>10</v>
      </c>
      <c r="G53" s="65">
        <f>INDEX(Pantry!$D$7:$D$68,MATCH($B53,Pantry!$A$7:$A$68,0))</f>
        <v>4</v>
      </c>
      <c r="H53" s="50" t="str">
        <f t="shared" si="1"/>
        <v>OK</v>
      </c>
      <c r="I53" s="57" t="s">
        <v>308</v>
      </c>
    </row>
    <row r="54" spans="1:9" ht="15.5" x14ac:dyDescent="0.35">
      <c r="A54" s="54" t="s">
        <v>298</v>
      </c>
      <c r="B54" s="64" t="s">
        <v>212</v>
      </c>
      <c r="C54" s="65">
        <f>SUMIFS(Data!$D$3:$D$278,Data!$C$3:$C$278,$B54)</f>
        <v>28</v>
      </c>
      <c r="D54" s="64" t="s">
        <v>213</v>
      </c>
      <c r="E54" s="64" t="s">
        <v>307</v>
      </c>
      <c r="F54" s="65">
        <f>INDEX(Pantry!$I$7:$I$68,MATCH($B54,Pantry!$A$7:$A$68,0))</f>
        <v>1</v>
      </c>
      <c r="G54" s="65">
        <f>INDEX(Pantry!$D$7:$D$68,MATCH($B54,Pantry!$A$7:$A$68,0))</f>
        <v>2</v>
      </c>
      <c r="H54" s="50" t="str">
        <f t="shared" si="1"/>
        <v>BUY</v>
      </c>
      <c r="I54" s="57" t="s">
        <v>308</v>
      </c>
    </row>
    <row r="55" spans="1:9" ht="15.5" x14ac:dyDescent="0.35">
      <c r="A55" s="54" t="s">
        <v>298</v>
      </c>
      <c r="B55" s="64" t="s">
        <v>270</v>
      </c>
      <c r="C55" s="65">
        <f>SUMIFS(Data!$D$3:$D$278,Data!$C$3:$C$278,$B55)</f>
        <v>2</v>
      </c>
      <c r="D55" s="64" t="s">
        <v>213</v>
      </c>
      <c r="E55" s="64" t="s">
        <v>307</v>
      </c>
      <c r="F55" s="65">
        <f>INDEX(Pantry!$I$7:$I$68,MATCH($B55,Pantry!$A$7:$A$68,0))</f>
        <v>6</v>
      </c>
      <c r="G55" s="65">
        <f>INDEX(Pantry!$D$7:$D$68,MATCH($B55,Pantry!$A$7:$A$68,0))</f>
        <v>3</v>
      </c>
      <c r="H55" s="50" t="str">
        <f t="shared" si="1"/>
        <v>OK</v>
      </c>
      <c r="I55" s="57" t="s">
        <v>308</v>
      </c>
    </row>
    <row r="56" spans="1:9" ht="15.5" x14ac:dyDescent="0.35">
      <c r="A56" s="54" t="s">
        <v>298</v>
      </c>
      <c r="B56" s="64" t="s">
        <v>251</v>
      </c>
      <c r="C56" s="65">
        <f>SUMIFS(Data!$D$3:$D$278,Data!$C$3:$C$278,$B56)</f>
        <v>10</v>
      </c>
      <c r="D56" s="64" t="s">
        <v>213</v>
      </c>
      <c r="E56" s="64" t="s">
        <v>307</v>
      </c>
      <c r="F56" s="65">
        <f>INDEX(Pantry!$I$7:$I$68,MATCH($B56,Pantry!$A$7:$A$68,0))</f>
        <v>8</v>
      </c>
      <c r="G56" s="65">
        <f>INDEX(Pantry!$D$7:$D$68,MATCH($B56,Pantry!$A$7:$A$68,0))</f>
        <v>3</v>
      </c>
      <c r="H56" s="50" t="str">
        <f t="shared" si="1"/>
        <v>OK</v>
      </c>
      <c r="I56" s="57" t="s">
        <v>308</v>
      </c>
    </row>
    <row r="57" spans="1:9" ht="15.5" x14ac:dyDescent="0.35">
      <c r="A57" s="54" t="s">
        <v>298</v>
      </c>
      <c r="B57" s="64" t="s">
        <v>224</v>
      </c>
      <c r="C57" s="65">
        <f>SUMIFS(Data!$D$3:$D$278,Data!$C$3:$C$278,$B57)</f>
        <v>2</v>
      </c>
      <c r="D57" s="64" t="s">
        <v>222</v>
      </c>
      <c r="E57" s="64" t="s">
        <v>307</v>
      </c>
      <c r="F57" s="65">
        <f>INDEX(Pantry!$I$7:$I$68,MATCH($B57,Pantry!$A$7:$A$68,0))</f>
        <v>2</v>
      </c>
      <c r="G57" s="65">
        <f>INDEX(Pantry!$D$7:$D$68,MATCH($B57,Pantry!$A$7:$A$68,0))</f>
        <v>1</v>
      </c>
      <c r="H57" s="50" t="str">
        <f t="shared" si="1"/>
        <v>OK</v>
      </c>
      <c r="I57" s="57" t="s">
        <v>308</v>
      </c>
    </row>
    <row r="58" spans="1:9" ht="15.5" x14ac:dyDescent="0.35">
      <c r="A58" s="54" t="s">
        <v>298</v>
      </c>
      <c r="B58" s="64" t="s">
        <v>261</v>
      </c>
      <c r="C58" s="65">
        <f>SUMIFS(Data!$D$3:$D$278,Data!$C$3:$C$278,$B58)</f>
        <v>300</v>
      </c>
      <c r="D58" s="64" t="s">
        <v>230</v>
      </c>
      <c r="E58" s="64" t="s">
        <v>307</v>
      </c>
      <c r="F58" s="65">
        <f>INDEX(Pantry!$I$7:$I$68,MATCH($B58,Pantry!$A$7:$A$68,0))</f>
        <v>500</v>
      </c>
      <c r="G58" s="65">
        <f>INDEX(Pantry!$D$7:$D$68,MATCH($B58,Pantry!$A$7:$A$68,0))</f>
        <v>250</v>
      </c>
      <c r="H58" s="50" t="str">
        <f t="shared" si="1"/>
        <v>OK</v>
      </c>
      <c r="I58" s="57" t="s">
        <v>308</v>
      </c>
    </row>
    <row r="59" spans="1:9" ht="15.5" x14ac:dyDescent="0.35">
      <c r="A59" s="54" t="s">
        <v>298</v>
      </c>
      <c r="B59" s="64" t="s">
        <v>274</v>
      </c>
      <c r="C59" s="65">
        <f>SUMIFS(Data!$D$3:$D$278,Data!$C$3:$C$278,$B59)</f>
        <v>4</v>
      </c>
      <c r="D59" s="64" t="s">
        <v>213</v>
      </c>
      <c r="E59" s="64" t="s">
        <v>307</v>
      </c>
      <c r="F59" s="65">
        <f>INDEX(Pantry!$I$7:$I$68,MATCH($B59,Pantry!$A$7:$A$68,0))</f>
        <v>0</v>
      </c>
      <c r="G59" s="65">
        <f>INDEX(Pantry!$D$7:$D$68,MATCH($B59,Pantry!$A$7:$A$68,0))</f>
        <v>3</v>
      </c>
      <c r="H59" s="50" t="str">
        <f t="shared" si="1"/>
        <v>BUY</v>
      </c>
      <c r="I59" s="57" t="s">
        <v>308</v>
      </c>
    </row>
    <row r="60" spans="1:9" ht="15.5" x14ac:dyDescent="0.35">
      <c r="A60" s="54" t="s">
        <v>298</v>
      </c>
      <c r="B60" s="64" t="s">
        <v>260</v>
      </c>
      <c r="C60" s="65">
        <f>SUMIFS(Data!$D$3:$D$278,Data!$C$3:$C$278,$B60)</f>
        <v>250</v>
      </c>
      <c r="D60" s="64" t="s">
        <v>230</v>
      </c>
      <c r="E60" s="64" t="s">
        <v>307</v>
      </c>
      <c r="F60" s="65">
        <f>INDEX(Pantry!$I$7:$I$68,MATCH($B60,Pantry!$A$7:$A$68,0))</f>
        <v>0</v>
      </c>
      <c r="G60" s="65">
        <f>INDEX(Pantry!$D$7:$D$68,MATCH($B60,Pantry!$A$7:$A$68,0))</f>
        <v>250</v>
      </c>
      <c r="H60" s="50" t="str">
        <f t="shared" si="1"/>
        <v>BUY</v>
      </c>
      <c r="I60" s="57" t="s">
        <v>308</v>
      </c>
    </row>
    <row r="61" spans="1:9" ht="15.5" x14ac:dyDescent="0.35">
      <c r="A61" s="54" t="s">
        <v>298</v>
      </c>
      <c r="B61" s="64" t="s">
        <v>253</v>
      </c>
      <c r="C61" s="65">
        <f>SUMIFS(Data!$D$3:$D$278,Data!$C$3:$C$278,$B61)</f>
        <v>4</v>
      </c>
      <c r="D61" s="64" t="s">
        <v>213</v>
      </c>
      <c r="E61" s="64" t="s">
        <v>307</v>
      </c>
      <c r="F61" s="65">
        <f>INDEX(Pantry!$I$7:$I$68,MATCH($B61,Pantry!$A$7:$A$68,0))</f>
        <v>6</v>
      </c>
      <c r="G61" s="65">
        <f>INDEX(Pantry!$D$7:$D$68,MATCH($B61,Pantry!$A$7:$A$68,0))</f>
        <v>3</v>
      </c>
      <c r="H61" s="50" t="str">
        <f t="shared" si="1"/>
        <v>OK</v>
      </c>
      <c r="I61" s="57" t="s">
        <v>308</v>
      </c>
    </row>
    <row r="62" spans="1:9" ht="15.5" x14ac:dyDescent="0.35">
      <c r="A62" s="54" t="s">
        <v>298</v>
      </c>
      <c r="B62" s="64" t="s">
        <v>255</v>
      </c>
      <c r="C62" s="65">
        <f>SUMIFS(Data!$D$3:$D$278,Data!$C$3:$C$278,$B62)</f>
        <v>2</v>
      </c>
      <c r="D62" s="64" t="s">
        <v>222</v>
      </c>
      <c r="E62" s="64" t="s">
        <v>307</v>
      </c>
      <c r="F62" s="65">
        <f>INDEX(Pantry!$I$7:$I$68,MATCH($B62,Pantry!$A$7:$A$68,0))</f>
        <v>30</v>
      </c>
      <c r="G62" s="65">
        <f>INDEX(Pantry!$D$7:$D$68,MATCH($B62,Pantry!$A$7:$A$68,0))</f>
        <v>4</v>
      </c>
      <c r="H62" s="50" t="str">
        <f t="shared" si="1"/>
        <v>OK</v>
      </c>
      <c r="I62" s="57" t="s">
        <v>308</v>
      </c>
    </row>
    <row r="63" spans="1:9" ht="15.5" x14ac:dyDescent="0.35">
      <c r="A63" s="54" t="s">
        <v>298</v>
      </c>
      <c r="B63" s="64" t="s">
        <v>254</v>
      </c>
      <c r="C63" s="65">
        <f>SUMIFS(Data!$D$3:$D$278,Data!$C$3:$C$278,$B63)</f>
        <v>3</v>
      </c>
      <c r="D63" s="64" t="s">
        <v>213</v>
      </c>
      <c r="E63" s="64" t="s">
        <v>307</v>
      </c>
      <c r="F63" s="65">
        <f>INDEX(Pantry!$I$7:$I$68,MATCH($B63,Pantry!$A$7:$A$68,0))</f>
        <v>5</v>
      </c>
      <c r="G63" s="65">
        <f>INDEX(Pantry!$D$7:$D$68,MATCH($B63,Pantry!$A$7:$A$68,0))</f>
        <v>2</v>
      </c>
      <c r="H63" s="50" t="str">
        <f t="shared" si="1"/>
        <v>OK</v>
      </c>
      <c r="I63" s="57" t="s">
        <v>308</v>
      </c>
    </row>
    <row r="64" spans="1:9" ht="15.5" x14ac:dyDescent="0.35">
      <c r="A64" s="54" t="s">
        <v>298</v>
      </c>
      <c r="B64" s="64" t="s">
        <v>269</v>
      </c>
      <c r="C64" s="65">
        <f>SUMIFS(Data!$D$3:$D$278,Data!$C$3:$C$278,$B64)</f>
        <v>6</v>
      </c>
      <c r="D64" s="64" t="s">
        <v>213</v>
      </c>
      <c r="E64" s="64" t="s">
        <v>307</v>
      </c>
      <c r="F64" s="65">
        <f>INDEX(Pantry!$I$7:$I$68,MATCH($B64,Pantry!$A$7:$A$68,0))</f>
        <v>20</v>
      </c>
      <c r="G64" s="65">
        <f>INDEX(Pantry!$D$7:$D$68,MATCH($B64,Pantry!$A$7:$A$68,0))</f>
        <v>4</v>
      </c>
      <c r="H64" s="50" t="str">
        <f t="shared" si="1"/>
        <v>OK</v>
      </c>
      <c r="I64" s="57" t="s">
        <v>308</v>
      </c>
    </row>
    <row r="65" spans="1:9" ht="15.5" x14ac:dyDescent="0.35">
      <c r="A65" s="54" t="s">
        <v>298</v>
      </c>
      <c r="B65" s="66" t="s">
        <v>240</v>
      </c>
      <c r="C65" s="67">
        <f>SUMIFS(Data!$D$3:$D$278,Data!$C$3:$C$278,$B65)</f>
        <v>625</v>
      </c>
      <c r="D65" s="66" t="s">
        <v>230</v>
      </c>
      <c r="E65" s="66" t="s">
        <v>309</v>
      </c>
      <c r="F65" s="67">
        <f>INDEX(Pantry!$I$7:$I$68,MATCH($B65,Pantry!$A$7:$A$68,0))</f>
        <v>500</v>
      </c>
      <c r="G65" s="67">
        <f>INDEX(Pantry!$D$7:$D$68,MATCH($B65,Pantry!$A$7:$A$68,0))</f>
        <v>250</v>
      </c>
      <c r="H65" s="50" t="str">
        <f t="shared" si="1"/>
        <v>OK</v>
      </c>
      <c r="I65" s="57" t="s">
        <v>310</v>
      </c>
    </row>
    <row r="66" spans="1:9" ht="15.5" x14ac:dyDescent="0.35">
      <c r="A66" s="54" t="s">
        <v>298</v>
      </c>
      <c r="B66" s="66" t="s">
        <v>243</v>
      </c>
      <c r="C66" s="67">
        <f>SUMIFS(Data!$D$3:$D$278,Data!$C$3:$C$278,$B66)</f>
        <v>300</v>
      </c>
      <c r="D66" s="66" t="s">
        <v>230</v>
      </c>
      <c r="E66" s="66" t="s">
        <v>309</v>
      </c>
      <c r="F66" s="67">
        <f>INDEX(Pantry!$I$7:$I$68,MATCH($B66,Pantry!$A$7:$A$68,0))</f>
        <v>250</v>
      </c>
      <c r="G66" s="67">
        <f>INDEX(Pantry!$D$7:$D$68,MATCH($B66,Pantry!$A$7:$A$68,0))</f>
        <v>250</v>
      </c>
      <c r="H66" s="50" t="str">
        <f t="shared" si="1"/>
        <v>OK</v>
      </c>
      <c r="I66" s="57" t="s">
        <v>310</v>
      </c>
    </row>
    <row r="67" spans="1:9" ht="15.5" x14ac:dyDescent="0.35">
      <c r="A67" s="54" t="s">
        <v>298</v>
      </c>
      <c r="B67" s="66" t="s">
        <v>244</v>
      </c>
      <c r="C67" s="67">
        <f>SUMIFS(Data!$D$3:$D$278,Data!$C$3:$C$278,$B67)</f>
        <v>300</v>
      </c>
      <c r="D67" s="66" t="s">
        <v>230</v>
      </c>
      <c r="E67" s="66" t="s">
        <v>309</v>
      </c>
      <c r="F67" s="67">
        <f>INDEX(Pantry!$I$7:$I$68,MATCH($B67,Pantry!$A$7:$A$68,0))</f>
        <v>0</v>
      </c>
      <c r="G67" s="67">
        <f>INDEX(Pantry!$D$7:$D$68,MATCH($B67,Pantry!$A$7:$A$68,0))</f>
        <v>250</v>
      </c>
      <c r="H67" s="50" t="str">
        <f t="shared" si="1"/>
        <v>BUY</v>
      </c>
      <c r="I67" s="57" t="s">
        <v>310</v>
      </c>
    </row>
    <row r="68" spans="1:9" ht="15.5" x14ac:dyDescent="0.35">
      <c r="A68" s="54" t="s">
        <v>298</v>
      </c>
      <c r="B68" s="66" t="s">
        <v>271</v>
      </c>
      <c r="C68" s="67">
        <f>SUMIFS(Data!$D$3:$D$278,Data!$C$3:$C$278,$B68)</f>
        <v>250</v>
      </c>
      <c r="D68" s="66" t="s">
        <v>230</v>
      </c>
      <c r="E68" s="66" t="s">
        <v>309</v>
      </c>
      <c r="F68" s="67">
        <f>INDEX(Pantry!$I$7:$I$68,MATCH($B68,Pantry!$A$7:$A$68,0))</f>
        <v>300</v>
      </c>
      <c r="G68" s="67">
        <f>INDEX(Pantry!$D$7:$D$68,MATCH($B68,Pantry!$A$7:$A$68,0))</f>
        <v>250</v>
      </c>
      <c r="H68" s="50" t="str">
        <f t="shared" si="1"/>
        <v>OK</v>
      </c>
      <c r="I68" s="57" t="s">
        <v>310</v>
      </c>
    </row>
    <row r="69" spans="1:9" ht="15.5" x14ac:dyDescent="0.35">
      <c r="A69" s="54" t="s">
        <v>298</v>
      </c>
      <c r="B69" s="66" t="s">
        <v>229</v>
      </c>
      <c r="C69" s="67">
        <f>SUMIFS(Data!$D$3:$D$278,Data!$C$3:$C$278,$B69)</f>
        <v>375</v>
      </c>
      <c r="D69" s="66" t="s">
        <v>230</v>
      </c>
      <c r="E69" s="66" t="s">
        <v>309</v>
      </c>
      <c r="F69" s="67">
        <f>INDEX(Pantry!$I$7:$I$68,MATCH($B69,Pantry!$A$7:$A$68,0))</f>
        <v>0</v>
      </c>
      <c r="G69" s="67">
        <f>INDEX(Pantry!$D$7:$D$68,MATCH($B69,Pantry!$A$7:$A$68,0))</f>
        <v>250</v>
      </c>
      <c r="H69" s="50" t="str">
        <f t="shared" si="1"/>
        <v>BUY</v>
      </c>
      <c r="I69" s="57" t="s">
        <v>310</v>
      </c>
    </row>
  </sheetData>
  <mergeCells count="3">
    <mergeCell ref="C4:I4"/>
    <mergeCell ref="C5:D5"/>
    <mergeCell ref="E5:I5"/>
  </mergeCells>
  <conditionalFormatting sqref="B8:B69">
    <cfRule type="expression" dxfId="5" priority="4">
      <formula>$A8="☑"</formula>
    </cfRule>
  </conditionalFormatting>
  <conditionalFormatting sqref="H8:H69">
    <cfRule type="cellIs" dxfId="4" priority="2" operator="equal">
      <formula>"BUY"</formula>
    </cfRule>
    <cfRule type="cellIs" dxfId="3" priority="3" operator="equal">
      <formula>"OK"</formula>
    </cfRule>
  </conditionalFormatting>
  <dataValidations count="1">
    <dataValidation type="list" allowBlank="1" sqref="A8:A69" xr:uid="{00000000-0002-0000-0500-000001000000}">
      <formula1>"☑,☐"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Lists!$B$2:$B$23</xm:f>
          </x14:formula1>
          <x14:formula2>
            <xm:f>0</xm:f>
          </x14:formula2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3A047"/>
  </sheetPr>
  <dimension ref="A1:N65"/>
  <sheetViews>
    <sheetView zoomScaleNormal="100" workbookViewId="0">
      <pane ySplit="3" topLeftCell="A13" activePane="bottomLeft" state="frozen"/>
      <selection pane="bottomLeft"/>
    </sheetView>
  </sheetViews>
  <sheetFormatPr defaultColWidth="8.6328125" defaultRowHeight="14.5" x14ac:dyDescent="0.35"/>
  <cols>
    <col min="1" max="1" width="8" customWidth="1"/>
    <col min="2" max="2" width="26" customWidth="1"/>
    <col min="3" max="3" width="3" customWidth="1"/>
    <col min="4" max="4" width="6" customWidth="1"/>
    <col min="5" max="5" width="10" customWidth="1"/>
    <col min="6" max="6" width="28" customWidth="1"/>
    <col min="7" max="7" width="9" customWidth="1"/>
    <col min="8" max="8" width="44" customWidth="1"/>
    <col min="12" max="14" width="13" hidden="1" customWidth="1"/>
  </cols>
  <sheetData>
    <row r="1" spans="1:14" ht="20" x14ac:dyDescent="0.4">
      <c r="A1" s="32" t="s">
        <v>311</v>
      </c>
      <c r="B1" s="14"/>
      <c r="C1" s="14"/>
      <c r="D1" s="14"/>
      <c r="E1" s="14"/>
      <c r="F1" s="68" t="str">
        <f>"Cooking for "&amp;Home!$D$5&amp;" people - change this on the Home tab"</f>
        <v>Cooking for 1 people - change this on the Home tab</v>
      </c>
      <c r="G1" s="14"/>
      <c r="H1" s="14"/>
      <c r="I1" s="14"/>
    </row>
    <row r="2" spans="1:14" x14ac:dyDescent="0.35">
      <c r="A2" s="33" t="s">
        <v>312</v>
      </c>
    </row>
    <row r="3" spans="1:14" x14ac:dyDescent="0.35">
      <c r="A3" s="20" t="s">
        <v>313</v>
      </c>
      <c r="B3" s="20" t="s">
        <v>193</v>
      </c>
      <c r="D3" s="20" t="s">
        <v>10</v>
      </c>
      <c r="E3" s="20" t="s">
        <v>125</v>
      </c>
      <c r="F3" s="20" t="s">
        <v>15</v>
      </c>
      <c r="G3" s="20" t="s">
        <v>13</v>
      </c>
      <c r="H3" s="20" t="s">
        <v>314</v>
      </c>
      <c r="L3" t="s">
        <v>315</v>
      </c>
      <c r="M3" t="s">
        <v>316</v>
      </c>
      <c r="N3" t="s">
        <v>317</v>
      </c>
    </row>
    <row r="4" spans="1:14" x14ac:dyDescent="0.35">
      <c r="A4" s="26" t="str">
        <f>IF(INDEX(Pantry!$I$7:$I$68,MATCH($B4,Pantry!$A$7:$A$68,0))&gt;0,"☑","☐")</f>
        <v>☐</v>
      </c>
      <c r="B4" s="42" t="s">
        <v>264</v>
      </c>
      <c r="D4" s="21">
        <v>1</v>
      </c>
      <c r="E4" s="69" t="str">
        <f t="shared" ref="E4:E25" si="0">INDEX($L$4:$L$25,MATCH(LARGE($N$4:$N$25,$D4),$N$4:$N$25,0))</f>
        <v>R016</v>
      </c>
      <c r="F4" s="23" t="str">
        <f>VLOOKUP($E4,Lists!$A$2:$B$23,2,0)</f>
        <v>Aalu (Masala Aloo)</v>
      </c>
      <c r="G4" s="24">
        <f t="shared" ref="G4:G25" si="1">INDEX($M$4:$M$25,MATCH($E4,$L$4:$L$25,0))</f>
        <v>1</v>
      </c>
      <c r="H4" s="70" t="str">
        <f t="array" ref="H4">_xlfn.TEXTJOIN(", ",TRUE(),IF((Data!$A$3:$A$278=$E4)*(Data!$L$3:$L$278=0),Data!$C$3:$C$278,""))</f>
        <v/>
      </c>
      <c r="L4" t="s">
        <v>30</v>
      </c>
      <c r="M4">
        <f>SUMIFS(Data!$L$3:$L$278,Data!$A$3:$A$278,$L4)/COUNTIFS(Data!$A$3:$A$278,$L4)</f>
        <v>0.8666666666666667</v>
      </c>
      <c r="N4">
        <f t="shared" ref="N4:N25" si="2">$M4+ROW()/1000000</f>
        <v>0.8666706666666667</v>
      </c>
    </row>
    <row r="5" spans="1:14" x14ac:dyDescent="0.35">
      <c r="A5" s="26" t="str">
        <f>IF(INDEX(Pantry!$I$7:$I$68,MATCH($B5,Pantry!$A$7:$A$68,0))&gt;0,"☑","☐")</f>
        <v>☐</v>
      </c>
      <c r="B5" s="42" t="s">
        <v>259</v>
      </c>
      <c r="D5" s="21">
        <v>2</v>
      </c>
      <c r="E5" s="69" t="str">
        <f t="shared" si="0"/>
        <v>R006b</v>
      </c>
      <c r="F5" s="23" t="str">
        <f>VLOOKUP($E5,Lists!$A$2:$B$23,2,0)</f>
        <v>Daal Mash with Tadka</v>
      </c>
      <c r="G5" s="24">
        <f t="shared" si="1"/>
        <v>1</v>
      </c>
      <c r="H5" s="70" t="str">
        <f t="array" ref="H5">_xlfn.TEXTJOIN(", ",TRUE(),IF((Data!$A$3:$A$278=$E5)*(Data!$L$3:$L$278=0),Data!$C$3:$C$278,""))</f>
        <v/>
      </c>
      <c r="L5" t="s">
        <v>35</v>
      </c>
      <c r="M5">
        <f>SUMIFS(Data!$L$3:$L$278,Data!$A$3:$A$278,$L5)/COUNTIFS(Data!$A$3:$A$278,$L5)</f>
        <v>1</v>
      </c>
      <c r="N5">
        <f t="shared" si="2"/>
        <v>1.000005</v>
      </c>
    </row>
    <row r="6" spans="1:14" x14ac:dyDescent="0.35">
      <c r="A6" s="26" t="str">
        <f>IF(INDEX(Pantry!$I$7:$I$68,MATCH($B6,Pantry!$A$7:$A$68,0))&gt;0,"☑","☐")</f>
        <v>☑</v>
      </c>
      <c r="B6" s="42" t="s">
        <v>256</v>
      </c>
      <c r="D6" s="21">
        <v>3</v>
      </c>
      <c r="E6" s="69" t="str">
        <f t="shared" si="0"/>
        <v>R006a</v>
      </c>
      <c r="F6" s="23" t="str">
        <f>VLOOKUP($E6,Lists!$A$2:$B$23,2,0)</f>
        <v>Daal Chana (Masala)</v>
      </c>
      <c r="G6" s="24">
        <f t="shared" si="1"/>
        <v>1</v>
      </c>
      <c r="H6" s="70" t="str">
        <f t="array" ref="H6">_xlfn.TEXTJOIN(", ",TRUE(),IF((Data!$A$3:$A$278=$E6)*(Data!$L$3:$L$278=0),Data!$C$3:$C$278,""))</f>
        <v/>
      </c>
      <c r="L6" t="s">
        <v>40</v>
      </c>
      <c r="M6">
        <f>SUMIFS(Data!$L$3:$L$278,Data!$A$3:$A$278,$L6)/COUNTIFS(Data!$A$3:$A$278,$L6)</f>
        <v>0.91666666666666663</v>
      </c>
      <c r="N6">
        <f t="shared" si="2"/>
        <v>0.91667266666666658</v>
      </c>
    </row>
    <row r="7" spans="1:14" x14ac:dyDescent="0.35">
      <c r="A7" s="26" t="str">
        <f>IF(INDEX(Pantry!$I$7:$I$68,MATCH($B7,Pantry!$A$7:$A$68,0))&gt;0,"☑","☐")</f>
        <v>☑</v>
      </c>
      <c r="B7" s="42" t="s">
        <v>258</v>
      </c>
      <c r="D7" s="21">
        <v>4</v>
      </c>
      <c r="E7" s="69" t="str">
        <f t="shared" si="0"/>
        <v>R004</v>
      </c>
      <c r="F7" s="23" t="str">
        <f>VLOOKUP($E7,Lists!$A$2:$B$23,2,0)</f>
        <v>Chicken Karahi (Fire)</v>
      </c>
      <c r="G7" s="24">
        <f t="shared" si="1"/>
        <v>1</v>
      </c>
      <c r="H7" s="70" t="str">
        <f t="array" ref="H7">_xlfn.TEXTJOIN(", ",TRUE(),IF((Data!$A$3:$A$278=$E7)*(Data!$L$3:$L$278=0),Data!$C$3:$C$278,""))</f>
        <v/>
      </c>
      <c r="L7" t="s">
        <v>45</v>
      </c>
      <c r="M7">
        <f>SUMIFS(Data!$L$3:$L$278,Data!$A$3:$A$278,$L7)/COUNTIFS(Data!$A$3:$A$278,$L7)</f>
        <v>1</v>
      </c>
      <c r="N7">
        <f t="shared" si="2"/>
        <v>1.0000070000000001</v>
      </c>
    </row>
    <row r="8" spans="1:14" x14ac:dyDescent="0.35">
      <c r="A8" s="26" t="str">
        <f>IF(INDEX(Pantry!$I$7:$I$68,MATCH($B8,Pantry!$A$7:$A$68,0))&gt;0,"☑","☐")</f>
        <v>☐</v>
      </c>
      <c r="B8" s="42" t="s">
        <v>263</v>
      </c>
      <c r="D8" s="21">
        <v>5</v>
      </c>
      <c r="E8" s="69" t="str">
        <f t="shared" si="0"/>
        <v>R002</v>
      </c>
      <c r="F8" s="23" t="str">
        <f>VLOOKUP($E8,Lists!$A$2:$B$23,2,0)</f>
        <v>Chicken Yakhni Pulao</v>
      </c>
      <c r="G8" s="24">
        <f t="shared" si="1"/>
        <v>1</v>
      </c>
      <c r="H8" s="70" t="str">
        <f t="array" ref="H8">_xlfn.TEXTJOIN(", ",TRUE(),IF((Data!$A$3:$A$278=$E8)*(Data!$L$3:$L$278=0),Data!$C$3:$C$278,""))</f>
        <v/>
      </c>
      <c r="L8" t="s">
        <v>50</v>
      </c>
      <c r="M8">
        <f>SUMIFS(Data!$L$3:$L$278,Data!$A$3:$A$278,$L8)/COUNTIFS(Data!$A$3:$A$278,$L8)</f>
        <v>0.91666666666666663</v>
      </c>
      <c r="N8">
        <f t="shared" si="2"/>
        <v>0.91667466666666664</v>
      </c>
    </row>
    <row r="9" spans="1:14" x14ac:dyDescent="0.35">
      <c r="A9" s="26" t="str">
        <f>IF(INDEX(Pantry!$I$7:$I$68,MATCH($B9,Pantry!$A$7:$A$68,0))&gt;0,"☑","☐")</f>
        <v>☑</v>
      </c>
      <c r="B9" s="42" t="s">
        <v>241</v>
      </c>
      <c r="D9" s="26">
        <v>6</v>
      </c>
      <c r="E9" s="50" t="str">
        <f t="shared" si="0"/>
        <v>R017</v>
      </c>
      <c r="F9" s="28" t="str">
        <f>VLOOKUP($E9,Lists!$A$2:$B$23,2,0)</f>
        <v>Qeema (Dhaba Style Aloo Qeema)</v>
      </c>
      <c r="G9" s="29">
        <f t="shared" si="1"/>
        <v>0.93333333333333335</v>
      </c>
      <c r="H9" s="70" t="str">
        <f t="array" ref="H9">_xlfn.TEXTJOIN(", ",TRUE(),IF((Data!$A$3:$A$278=$E9)*(Data!$L$3:$L$278=0),Data!$C$3:$C$278,""))</f>
        <v>Kashmiri_Red_Chilli_Powder</v>
      </c>
      <c r="L9" t="s">
        <v>54</v>
      </c>
      <c r="M9">
        <f>SUMIFS(Data!$L$3:$L$278,Data!$A$3:$A$278,$L9)/COUNTIFS(Data!$A$3:$A$278,$L9)</f>
        <v>1</v>
      </c>
      <c r="N9">
        <f t="shared" si="2"/>
        <v>1.0000089999999999</v>
      </c>
    </row>
    <row r="10" spans="1:14" x14ac:dyDescent="0.35">
      <c r="A10" s="26" t="str">
        <f>IF(INDEX(Pantry!$I$7:$I$68,MATCH($B10,Pantry!$A$7:$A$68,0))&gt;0,"☑","☐")</f>
        <v>☑</v>
      </c>
      <c r="B10" s="42" t="s">
        <v>218</v>
      </c>
      <c r="D10" s="26">
        <v>7</v>
      </c>
      <c r="E10" s="50" t="str">
        <f t="shared" si="0"/>
        <v>R008</v>
      </c>
      <c r="F10" s="28" t="str">
        <f>VLOOKUP($E10,Lists!$A$2:$B$23,2,0)</f>
        <v>Shami Kabab</v>
      </c>
      <c r="G10" s="29">
        <f t="shared" si="1"/>
        <v>0.93333333333333335</v>
      </c>
      <c r="H10" s="70" t="str">
        <f t="array" ref="H10">_xlfn.TEXTJOIN(", ",TRUE(),IF((Data!$A$3:$A$278=$E10)*(Data!$L$3:$L$278=0),Data!$C$3:$C$278,""))</f>
        <v>Mint</v>
      </c>
      <c r="L10" t="s">
        <v>58</v>
      </c>
      <c r="M10">
        <f>SUMIFS(Data!$L$3:$L$278,Data!$A$3:$A$278,$L10)/COUNTIFS(Data!$A$3:$A$278,$L10)</f>
        <v>1</v>
      </c>
      <c r="N10">
        <f t="shared" si="2"/>
        <v>1.0000100000000001</v>
      </c>
    </row>
    <row r="11" spans="1:14" x14ac:dyDescent="0.35">
      <c r="A11" s="26" t="str">
        <f>IF(INDEX(Pantry!$I$7:$I$68,MATCH($B11,Pantry!$A$7:$A$68,0))&gt;0,"☑","☐")</f>
        <v>☑</v>
      </c>
      <c r="B11" s="42" t="s">
        <v>235</v>
      </c>
      <c r="D11" s="26">
        <v>8</v>
      </c>
      <c r="E11" s="50" t="str">
        <f t="shared" si="0"/>
        <v>R014</v>
      </c>
      <c r="F11" s="28" t="str">
        <f>VLOOKUP($E11,Lists!$A$2:$B$23,2,0)</f>
        <v>Gobi Masala (Dhaba Style)</v>
      </c>
      <c r="G11" s="29">
        <f t="shared" si="1"/>
        <v>0.9285714285714286</v>
      </c>
      <c r="H11" s="70" t="str">
        <f t="array" ref="H11">_xlfn.TEXTJOIN(", ",TRUE(),IF((Data!$A$3:$A$278=$E11)*(Data!$L$3:$L$278=0),Data!$C$3:$C$278,""))</f>
        <v>Cauliflower_Gobi</v>
      </c>
      <c r="L11" t="s">
        <v>62</v>
      </c>
      <c r="M11">
        <f>SUMIFS(Data!$L$3:$L$278,Data!$A$3:$A$278,$L11)/COUNTIFS(Data!$A$3:$A$278,$L11)</f>
        <v>0.91666666666666663</v>
      </c>
      <c r="N11">
        <f t="shared" si="2"/>
        <v>0.91667766666666661</v>
      </c>
    </row>
    <row r="12" spans="1:14" x14ac:dyDescent="0.35">
      <c r="A12" s="26" t="str">
        <f>IF(INDEX(Pantry!$I$7:$I$68,MATCH($B12,Pantry!$A$7:$A$68,0))&gt;0,"☑","☐")</f>
        <v>☑</v>
      </c>
      <c r="B12" s="42" t="s">
        <v>219</v>
      </c>
      <c r="D12" s="26">
        <v>9</v>
      </c>
      <c r="E12" s="50" t="str">
        <f t="shared" si="0"/>
        <v>R009</v>
      </c>
      <c r="F12" s="28" t="str">
        <f>VLOOKUP($E12,Lists!$A$2:$B$23,2,0)</f>
        <v>Chicken Manchurian</v>
      </c>
      <c r="G12" s="29">
        <f t="shared" si="1"/>
        <v>0.9285714285714286</v>
      </c>
      <c r="H12" s="70" t="str">
        <f t="array" ref="H12">_xlfn.TEXTJOIN(", ",TRUE(),IF((Data!$A$3:$A$278=$E12)*(Data!$L$3:$L$278=0),Data!$C$3:$C$278,""))</f>
        <v>Spring_Onion</v>
      </c>
      <c r="L12" t="s">
        <v>66</v>
      </c>
      <c r="M12">
        <f>SUMIFS(Data!$L$3:$L$278,Data!$A$3:$A$278,$L12)/COUNTIFS(Data!$A$3:$A$278,$L12)</f>
        <v>0.8571428571428571</v>
      </c>
      <c r="N12">
        <f t="shared" si="2"/>
        <v>0.85715485714285711</v>
      </c>
    </row>
    <row r="13" spans="1:14" x14ac:dyDescent="0.35">
      <c r="A13" s="26" t="str">
        <f>IF(INDEX(Pantry!$I$7:$I$68,MATCH($B13,Pantry!$A$7:$A$68,0))&gt;0,"☑","☐")</f>
        <v>☑</v>
      </c>
      <c r="B13" s="42" t="s">
        <v>220</v>
      </c>
      <c r="D13" s="26">
        <v>10</v>
      </c>
      <c r="E13" s="50" t="str">
        <f t="shared" si="0"/>
        <v>R019</v>
      </c>
      <c r="F13" s="28" t="str">
        <f>VLOOKUP($E13,Lists!$A$2:$B$23,2,0)</f>
        <v>Khichri (Spicy Fried Khichdi)</v>
      </c>
      <c r="G13" s="29">
        <f t="shared" si="1"/>
        <v>0.91666666666666663</v>
      </c>
      <c r="H13" s="70" t="str">
        <f t="array" ref="H13">_xlfn.TEXTJOIN(", ",TRUE(),IF((Data!$A$3:$A$278=$E13)*(Data!$L$3:$L$278=0),Data!$C$3:$C$278,""))</f>
        <v>Spring_Onion</v>
      </c>
      <c r="L13" t="s">
        <v>70</v>
      </c>
      <c r="M13">
        <f>SUMIFS(Data!$L$3:$L$278,Data!$A$3:$A$278,$L13)/COUNTIFS(Data!$A$3:$A$278,$L13)</f>
        <v>0.93333333333333335</v>
      </c>
      <c r="N13">
        <f t="shared" si="2"/>
        <v>0.93334633333333339</v>
      </c>
    </row>
    <row r="14" spans="1:14" x14ac:dyDescent="0.35">
      <c r="A14" s="26" t="str">
        <f>IF(INDEX(Pantry!$I$7:$I$68,MATCH($B14,Pantry!$A$7:$A$68,0))&gt;0,"☑","☐")</f>
        <v>☐</v>
      </c>
      <c r="B14" s="42" t="s">
        <v>216</v>
      </c>
      <c r="D14" s="26">
        <v>11</v>
      </c>
      <c r="E14" s="50" t="str">
        <f t="shared" si="0"/>
        <v>R015</v>
      </c>
      <c r="F14" s="28" t="str">
        <f>VLOOKUP($E14,Lists!$A$2:$B$23,2,0)</f>
        <v>Karela (Qeema Karelay)</v>
      </c>
      <c r="G14" s="29">
        <f t="shared" si="1"/>
        <v>0.91666666666666663</v>
      </c>
      <c r="H14" s="70" t="str">
        <f t="array" ref="H14">_xlfn.TEXTJOIN(", ",TRUE(),IF((Data!$A$3:$A$278=$E14)*(Data!$L$3:$L$278=0),Data!$C$3:$C$278,""))</f>
        <v>Bitter_Gourd_Karela</v>
      </c>
      <c r="L14" t="s">
        <v>74</v>
      </c>
      <c r="M14">
        <f>SUMIFS(Data!$L$3:$L$278,Data!$A$3:$A$278,$L14)/COUNTIFS(Data!$A$3:$A$278,$L14)</f>
        <v>0.9285714285714286</v>
      </c>
      <c r="N14">
        <f t="shared" si="2"/>
        <v>0.92858542857142856</v>
      </c>
    </row>
    <row r="15" spans="1:14" x14ac:dyDescent="0.35">
      <c r="A15" s="26" t="str">
        <f>IF(INDEX(Pantry!$I$7:$I$68,MATCH($B15,Pantry!$A$7:$A$68,0))&gt;0,"☑","☐")</f>
        <v>☐</v>
      </c>
      <c r="B15" s="42" t="s">
        <v>272</v>
      </c>
      <c r="D15" s="26">
        <v>12</v>
      </c>
      <c r="E15" s="50" t="str">
        <f t="shared" si="0"/>
        <v>R013</v>
      </c>
      <c r="F15" s="28" t="str">
        <f>VLOOKUP($E15,Lists!$A$2:$B$23,2,0)</f>
        <v>Bhindi (Masala Aloo Bhindi)</v>
      </c>
      <c r="G15" s="29">
        <f t="shared" si="1"/>
        <v>0.91666666666666663</v>
      </c>
      <c r="H15" s="70" t="str">
        <f t="array" ref="H15">_xlfn.TEXTJOIN(", ",TRUE(),IF((Data!$A$3:$A$278=$E15)*(Data!$L$3:$L$278=0),Data!$C$3:$C$278,""))</f>
        <v>Okra_Bhindi</v>
      </c>
      <c r="L15" t="s">
        <v>78</v>
      </c>
      <c r="M15">
        <f>SUMIFS(Data!$L$3:$L$278,Data!$A$3:$A$278,$L15)/COUNTIFS(Data!$A$3:$A$278,$L15)</f>
        <v>0.81818181818181823</v>
      </c>
      <c r="N15">
        <f t="shared" si="2"/>
        <v>0.81819681818181822</v>
      </c>
    </row>
    <row r="16" spans="1:14" x14ac:dyDescent="0.35">
      <c r="A16" s="26" t="str">
        <f>IF(INDEX(Pantry!$I$7:$I$68,MATCH($B16,Pantry!$A$7:$A$68,0))&gt;0,"☑","☐")</f>
        <v>☐</v>
      </c>
      <c r="B16" s="42" t="s">
        <v>262</v>
      </c>
      <c r="D16" s="26">
        <v>13</v>
      </c>
      <c r="E16" s="50" t="str">
        <f t="shared" si="0"/>
        <v>R011</v>
      </c>
      <c r="F16" s="28" t="str">
        <f>VLOOKUP($E16,Lists!$A$2:$B$23,2,0)</f>
        <v>One Pot Spicy Pasta</v>
      </c>
      <c r="G16" s="29">
        <f t="shared" si="1"/>
        <v>0.91666666666666663</v>
      </c>
      <c r="H16" s="70" t="str">
        <f t="array" ref="H16">_xlfn.TEXTJOIN(", ",TRUE(),IF((Data!$A$3:$A$278=$E16)*(Data!$L$3:$L$278=0),Data!$C$3:$C$278,""))</f>
        <v>Pasta</v>
      </c>
      <c r="L16" t="s">
        <v>82</v>
      </c>
      <c r="M16">
        <f>SUMIFS(Data!$L$3:$L$278,Data!$A$3:$A$278,$L16)/COUNTIFS(Data!$A$3:$A$278,$L16)</f>
        <v>0.91666666666666663</v>
      </c>
      <c r="N16">
        <f t="shared" si="2"/>
        <v>0.91668266666666665</v>
      </c>
    </row>
    <row r="17" spans="1:14" x14ac:dyDescent="0.35">
      <c r="A17" s="26" t="str">
        <f>IF(INDEX(Pantry!$I$7:$I$68,MATCH($B17,Pantry!$A$7:$A$68,0))&gt;0,"☑","☐")</f>
        <v>☑</v>
      </c>
      <c r="B17" s="42" t="s">
        <v>207</v>
      </c>
      <c r="D17" s="26">
        <v>14</v>
      </c>
      <c r="E17" s="50" t="str">
        <f t="shared" si="0"/>
        <v>R006c</v>
      </c>
      <c r="F17" s="28" t="str">
        <f>VLOOKUP($E17,Lists!$A$2:$B$23,2,0)</f>
        <v>Daal Masoor (Malka)</v>
      </c>
      <c r="G17" s="29">
        <f t="shared" si="1"/>
        <v>0.91666666666666663</v>
      </c>
      <c r="H17" s="70" t="str">
        <f t="array" ref="H17">_xlfn.TEXTJOIN(", ",TRUE(),IF((Data!$A$3:$A$278=$E17)*(Data!$L$3:$L$278=0),Data!$C$3:$C$278,""))</f>
        <v>Masoor_Daal</v>
      </c>
      <c r="L17" t="s">
        <v>86</v>
      </c>
      <c r="M17">
        <f>SUMIFS(Data!$L$3:$L$278,Data!$A$3:$A$278,$L17)/COUNTIFS(Data!$A$3:$A$278,$L17)</f>
        <v>0.90909090909090906</v>
      </c>
      <c r="N17">
        <f t="shared" si="2"/>
        <v>0.90910790909090911</v>
      </c>
    </row>
    <row r="18" spans="1:14" x14ac:dyDescent="0.35">
      <c r="A18" s="26" t="str">
        <f>IF(INDEX(Pantry!$I$7:$I$68,MATCH($B18,Pantry!$A$7:$A$68,0))&gt;0,"☑","☐")</f>
        <v>☑</v>
      </c>
      <c r="B18" s="42" t="s">
        <v>246</v>
      </c>
      <c r="D18" s="26">
        <v>15</v>
      </c>
      <c r="E18" s="50" t="str">
        <f t="shared" si="0"/>
        <v>R005</v>
      </c>
      <c r="F18" s="28" t="str">
        <f>VLOOKUP($E18,Lists!$A$2:$B$23,2,0)</f>
        <v>Chicken Qorma</v>
      </c>
      <c r="G18" s="29">
        <f t="shared" si="1"/>
        <v>0.91666666666666663</v>
      </c>
      <c r="H18" s="70" t="str">
        <f t="array" ref="H18">_xlfn.TEXTJOIN(", ",TRUE(),IF((Data!$A$3:$A$278=$E18)*(Data!$L$3:$L$278=0),Data!$C$3:$C$278,""))</f>
        <v>Fried_Onion</v>
      </c>
      <c r="L18" t="s">
        <v>90</v>
      </c>
      <c r="M18">
        <f>SUMIFS(Data!$L$3:$L$278,Data!$A$3:$A$278,$L18)/COUNTIFS(Data!$A$3:$A$278,$L18)</f>
        <v>0.91666666666666663</v>
      </c>
      <c r="N18">
        <f t="shared" si="2"/>
        <v>0.91668466666666659</v>
      </c>
    </row>
    <row r="19" spans="1:14" x14ac:dyDescent="0.35">
      <c r="A19" s="26" t="str">
        <f>IF(INDEX(Pantry!$I$7:$I$68,MATCH($B19,Pantry!$A$7:$A$68,0))&gt;0,"☑","☐")</f>
        <v>☑</v>
      </c>
      <c r="B19" s="42" t="s">
        <v>273</v>
      </c>
      <c r="D19" s="26">
        <v>16</v>
      </c>
      <c r="E19" s="50" t="str">
        <f t="shared" si="0"/>
        <v>R003</v>
      </c>
      <c r="F19" s="28" t="str">
        <f>VLOOKUP($E19,Lists!$A$2:$B$23,2,0)</f>
        <v>Red Beans (Lal Lobia Masala)</v>
      </c>
      <c r="G19" s="29">
        <f t="shared" si="1"/>
        <v>0.91666666666666663</v>
      </c>
      <c r="H19" s="70" t="str">
        <f t="array" ref="H19">_xlfn.TEXTJOIN(", ",TRUE(),IF((Data!$A$3:$A$278=$E19)*(Data!$L$3:$L$278=0),Data!$C$3:$C$278,""))</f>
        <v>Red_Kidney_Beans</v>
      </c>
      <c r="L19" t="s">
        <v>94</v>
      </c>
      <c r="M19">
        <f>SUMIFS(Data!$L$3:$L$278,Data!$A$3:$A$278,$L19)/COUNTIFS(Data!$A$3:$A$278,$L19)</f>
        <v>0.9285714285714286</v>
      </c>
      <c r="N19">
        <f t="shared" si="2"/>
        <v>0.92859042857142859</v>
      </c>
    </row>
    <row r="20" spans="1:14" x14ac:dyDescent="0.35">
      <c r="A20" s="26" t="str">
        <f>IF(INDEX(Pantry!$I$7:$I$68,MATCH($B20,Pantry!$A$7:$A$68,0))&gt;0,"☑","☐")</f>
        <v>☐</v>
      </c>
      <c r="B20" s="42" t="s">
        <v>257</v>
      </c>
      <c r="D20" s="26">
        <v>17</v>
      </c>
      <c r="E20" s="50" t="str">
        <f t="shared" si="0"/>
        <v>R012</v>
      </c>
      <c r="F20" s="28" t="str">
        <f>VLOOKUP($E20,Lists!$A$2:$B$23,2,0)</f>
        <v>Chicken Macaroni (Korma-style)</v>
      </c>
      <c r="G20" s="29">
        <f t="shared" si="1"/>
        <v>0.90909090909090906</v>
      </c>
      <c r="H20" s="70" t="str">
        <f t="array" ref="H20">_xlfn.TEXTJOIN(", ",TRUE(),IF((Data!$A$3:$A$278=$E20)*(Data!$L$3:$L$278=0),Data!$C$3:$C$278,""))</f>
        <v>Fried_Onion</v>
      </c>
      <c r="L20" t="s">
        <v>98</v>
      </c>
      <c r="M20">
        <f>SUMIFS(Data!$L$3:$L$278,Data!$A$3:$A$278,$L20)/COUNTIFS(Data!$A$3:$A$278,$L20)</f>
        <v>0.91666666666666663</v>
      </c>
      <c r="N20">
        <f t="shared" si="2"/>
        <v>0.91668666666666665</v>
      </c>
    </row>
    <row r="21" spans="1:14" x14ac:dyDescent="0.35">
      <c r="A21" s="26" t="str">
        <f>IF(INDEX(Pantry!$I$7:$I$68,MATCH($B21,Pantry!$A$7:$A$68,0))&gt;0,"☑","☐")</f>
        <v>☑</v>
      </c>
      <c r="B21" s="42" t="s">
        <v>209</v>
      </c>
      <c r="D21" s="26">
        <v>18</v>
      </c>
      <c r="E21" s="50" t="str">
        <f t="shared" si="0"/>
        <v>R001</v>
      </c>
      <c r="F21" s="28" t="str">
        <f>VLOOKUP($E21,Lists!$A$2:$B$23,2,0)</f>
        <v>Chicken Biryani (Extreme)</v>
      </c>
      <c r="G21" s="29">
        <f t="shared" si="1"/>
        <v>0.8666666666666667</v>
      </c>
      <c r="H21" s="70" t="str">
        <f t="array" ref="H21">_xlfn.TEXTJOIN(", ",TRUE(),IF((Data!$A$3:$A$278=$E21)*(Data!$L$3:$L$278=0),Data!$C$3:$C$278,""))</f>
        <v>Mint, Fried_Onion</v>
      </c>
      <c r="L21" t="s">
        <v>102</v>
      </c>
      <c r="M21">
        <f>SUMIFS(Data!$L$3:$L$278,Data!$A$3:$A$278,$L21)/COUNTIFS(Data!$A$3:$A$278,$L21)</f>
        <v>1</v>
      </c>
      <c r="N21">
        <f t="shared" si="2"/>
        <v>1.000021</v>
      </c>
    </row>
    <row r="22" spans="1:14" x14ac:dyDescent="0.35">
      <c r="A22" s="26" t="str">
        <f>IF(INDEX(Pantry!$I$7:$I$68,MATCH($B22,Pantry!$A$7:$A$68,0))&gt;0,"☑","☐")</f>
        <v>☐</v>
      </c>
      <c r="B22" s="42" t="s">
        <v>245</v>
      </c>
      <c r="D22" s="26">
        <v>19</v>
      </c>
      <c r="E22" s="50" t="str">
        <f t="shared" si="0"/>
        <v>R007</v>
      </c>
      <c r="F22" s="28" t="str">
        <f>VLOOKUP($E22,Lists!$A$2:$B$23,2,0)</f>
        <v>Beef Salan (Aloo Gosht, Delhi)</v>
      </c>
      <c r="G22" s="29">
        <f t="shared" si="1"/>
        <v>0.8571428571428571</v>
      </c>
      <c r="H22" s="70" t="str">
        <f t="array" ref="H22">_xlfn.TEXTJOIN(", ",TRUE(),IF((Data!$A$3:$A$278=$E22)*(Data!$L$3:$L$278=0),Data!$C$3:$C$278,""))</f>
        <v>Beef_Boneless, Kashmiri_Red_Chilli_Powder</v>
      </c>
      <c r="L22" t="s">
        <v>106</v>
      </c>
      <c r="M22">
        <f>SUMIFS(Data!$L$3:$L$278,Data!$A$3:$A$278,$L22)/COUNTIFS(Data!$A$3:$A$278,$L22)</f>
        <v>0.93333333333333335</v>
      </c>
      <c r="N22">
        <f t="shared" si="2"/>
        <v>0.93335533333333331</v>
      </c>
    </row>
    <row r="23" spans="1:14" ht="23" x14ac:dyDescent="0.35">
      <c r="A23" s="26" t="str">
        <f>IF(INDEX(Pantry!$I$7:$I$68,MATCH($B23,Pantry!$A$7:$A$68,0))&gt;0,"☑","☐")</f>
        <v>☑</v>
      </c>
      <c r="B23" s="42" t="s">
        <v>248</v>
      </c>
      <c r="D23" s="26">
        <v>20</v>
      </c>
      <c r="E23" s="50" t="str">
        <f t="shared" si="0"/>
        <v>R018</v>
      </c>
      <c r="F23" s="28" t="str">
        <f>VLOOKUP($E23,Lists!$A$2:$B$23,2,0)</f>
        <v>Beef Nihari</v>
      </c>
      <c r="G23" s="29">
        <f t="shared" si="1"/>
        <v>0.83333333333333337</v>
      </c>
      <c r="H23" s="70" t="str">
        <f t="array" ref="H23">_xlfn.TEXTJOIN(", ",TRUE(),IF((Data!$A$3:$A$278=$E23)*(Data!$L$3:$L$278=0),Data!$C$3:$C$278,""))</f>
        <v>Beef_Shank_with_Bones, Nihari_Masala</v>
      </c>
      <c r="L23" t="s">
        <v>110</v>
      </c>
      <c r="M23">
        <f>SUMIFS(Data!$L$3:$L$278,Data!$A$3:$A$278,$L23)/COUNTIFS(Data!$A$3:$A$278,$L23)</f>
        <v>0.83333333333333337</v>
      </c>
      <c r="N23">
        <f t="shared" si="2"/>
        <v>0.83335633333333337</v>
      </c>
    </row>
    <row r="24" spans="1:14" x14ac:dyDescent="0.35">
      <c r="A24" s="26" t="str">
        <f>IF(INDEX(Pantry!$I$7:$I$68,MATCH($B24,Pantry!$A$7:$A$68,0))&gt;0,"☑","☐")</f>
        <v>☐</v>
      </c>
      <c r="B24" s="42" t="s">
        <v>267</v>
      </c>
      <c r="D24" s="26">
        <v>21</v>
      </c>
      <c r="E24" s="50" t="str">
        <f t="shared" si="0"/>
        <v>R010</v>
      </c>
      <c r="F24" s="28" t="str">
        <f>VLOOKUP($E24,Lists!$A$2:$B$23,2,0)</f>
        <v>Chinese Fried Rice</v>
      </c>
      <c r="G24" s="29">
        <f t="shared" si="1"/>
        <v>0.81818181818181823</v>
      </c>
      <c r="H24" s="70" t="str">
        <f t="array" ref="H24">_xlfn.TEXTJOIN(", ",TRUE(),IF((Data!$A$3:$A$278=$E24)*(Data!$L$3:$L$278=0),Data!$C$3:$C$278,""))</f>
        <v>Cabbage, Spring_Onion</v>
      </c>
      <c r="L24" t="s">
        <v>114</v>
      </c>
      <c r="M24">
        <f>SUMIFS(Data!$L$3:$L$278,Data!$A$3:$A$278,$L24)/COUNTIFS(Data!$A$3:$A$278,$L24)</f>
        <v>0.91666666666666663</v>
      </c>
      <c r="N24">
        <f t="shared" si="2"/>
        <v>0.91669066666666665</v>
      </c>
    </row>
    <row r="25" spans="1:14" ht="23" x14ac:dyDescent="0.35">
      <c r="A25" s="26" t="str">
        <f>IF(INDEX(Pantry!$I$7:$I$68,MATCH($B25,Pantry!$A$7:$A$68,0))&gt;0,"☑","☐")</f>
        <v>☑</v>
      </c>
      <c r="B25" s="42" t="s">
        <v>204</v>
      </c>
      <c r="D25" s="26">
        <v>22</v>
      </c>
      <c r="E25" s="50" t="str">
        <f t="shared" si="0"/>
        <v>R020</v>
      </c>
      <c r="F25" s="28" t="str">
        <f>VLOOKUP($E25,Lists!$A$2:$B$23,2,0)</f>
        <v>Saag (Sarson Ka Saag)</v>
      </c>
      <c r="G25" s="29">
        <f t="shared" si="1"/>
        <v>0.8</v>
      </c>
      <c r="H25" s="70" t="str">
        <f t="array" ref="H25">_xlfn.TEXTJOIN(", ",TRUE(),IF((Data!$A$3:$A$278=$E25)*(Data!$L$3:$L$278=0),Data!$C$3:$C$278,""))</f>
        <v>Mustard_Greens_Saag, Maize_Flour_Makai</v>
      </c>
      <c r="L25" t="s">
        <v>118</v>
      </c>
      <c r="M25">
        <f>SUMIFS(Data!$L$3:$L$278,Data!$A$3:$A$278,$L25)/COUNTIFS(Data!$A$3:$A$278,$L25)</f>
        <v>0.8</v>
      </c>
      <c r="N25">
        <f t="shared" si="2"/>
        <v>0.8000250000000001</v>
      </c>
    </row>
    <row r="26" spans="1:14" x14ac:dyDescent="0.35">
      <c r="A26" s="26" t="str">
        <f>IF(INDEX(Pantry!$I$7:$I$68,MATCH($B26,Pantry!$A$7:$A$68,0))&gt;0,"☑","☐")</f>
        <v>☑</v>
      </c>
      <c r="B26" s="42" t="s">
        <v>238</v>
      </c>
    </row>
    <row r="27" spans="1:14" x14ac:dyDescent="0.35">
      <c r="A27" s="26" t="str">
        <f>IF(INDEX(Pantry!$I$7:$I$68,MATCH($B27,Pantry!$A$7:$A$68,0))&gt;0,"☑","☐")</f>
        <v>☑</v>
      </c>
      <c r="B27" s="42" t="s">
        <v>249</v>
      </c>
    </row>
    <row r="28" spans="1:14" x14ac:dyDescent="0.35">
      <c r="A28" s="26" t="str">
        <f>IF(INDEX(Pantry!$I$7:$I$68,MATCH($B28,Pantry!$A$7:$A$68,0))&gt;0,"☑","☐")</f>
        <v>☑</v>
      </c>
      <c r="B28" s="42" t="s">
        <v>210</v>
      </c>
    </row>
    <row r="29" spans="1:14" x14ac:dyDescent="0.35">
      <c r="A29" s="26" t="str">
        <f>IF(INDEX(Pantry!$I$7:$I$68,MATCH($B29,Pantry!$A$7:$A$68,0))&gt;0,"☑","☐")</f>
        <v>☑</v>
      </c>
      <c r="B29" s="42" t="s">
        <v>214</v>
      </c>
    </row>
    <row r="30" spans="1:14" x14ac:dyDescent="0.35">
      <c r="A30" s="26" t="str">
        <f>IF(INDEX(Pantry!$I$7:$I$68,MATCH($B30,Pantry!$A$7:$A$68,0))&gt;0,"☑","☐")</f>
        <v>☑</v>
      </c>
      <c r="B30" s="42" t="s">
        <v>237</v>
      </c>
    </row>
    <row r="31" spans="1:14" x14ac:dyDescent="0.35">
      <c r="A31" s="26" t="str">
        <f>IF(INDEX(Pantry!$I$7:$I$68,MATCH($B31,Pantry!$A$7:$A$68,0))&gt;0,"☑","☐")</f>
        <v>☑</v>
      </c>
      <c r="B31" s="42" t="s">
        <v>233</v>
      </c>
    </row>
    <row r="32" spans="1:14" x14ac:dyDescent="0.35">
      <c r="A32" s="26" t="str">
        <f>IF(INDEX(Pantry!$I$7:$I$68,MATCH($B32,Pantry!$A$7:$A$68,0))&gt;0,"☑","☐")</f>
        <v>☑</v>
      </c>
      <c r="B32" s="42" t="s">
        <v>227</v>
      </c>
    </row>
    <row r="33" spans="1:2" x14ac:dyDescent="0.35">
      <c r="A33" s="26" t="str">
        <f>IF(INDEX(Pantry!$I$7:$I$68,MATCH($B33,Pantry!$A$7:$A$68,0))&gt;0,"☑","☐")</f>
        <v>☑</v>
      </c>
      <c r="B33" s="42" t="s">
        <v>226</v>
      </c>
    </row>
    <row r="34" spans="1:2" x14ac:dyDescent="0.35">
      <c r="A34" s="26" t="str">
        <f>IF(INDEX(Pantry!$I$7:$I$68,MATCH($B34,Pantry!$A$7:$A$68,0))&gt;0,"☑","☐")</f>
        <v>☑</v>
      </c>
      <c r="B34" s="42" t="s">
        <v>265</v>
      </c>
    </row>
    <row r="35" spans="1:2" x14ac:dyDescent="0.35">
      <c r="A35" s="26" t="str">
        <f>IF(INDEX(Pantry!$I$7:$I$68,MATCH($B35,Pantry!$A$7:$A$68,0))&gt;0,"☑","☐")</f>
        <v>☑</v>
      </c>
      <c r="B35" s="42" t="s">
        <v>228</v>
      </c>
    </row>
    <row r="36" spans="1:2" x14ac:dyDescent="0.35">
      <c r="A36" s="26" t="str">
        <f>IF(INDEX(Pantry!$I$7:$I$68,MATCH($B36,Pantry!$A$7:$A$68,0))&gt;0,"☑","☐")</f>
        <v>☑</v>
      </c>
      <c r="B36" s="42" t="s">
        <v>234</v>
      </c>
    </row>
    <row r="37" spans="1:2" x14ac:dyDescent="0.35">
      <c r="A37" s="26" t="str">
        <f>IF(INDEX(Pantry!$I$7:$I$68,MATCH($B37,Pantry!$A$7:$A$68,0))&gt;0,"☑","☐")</f>
        <v>☐</v>
      </c>
      <c r="B37" s="42" t="s">
        <v>247</v>
      </c>
    </row>
    <row r="38" spans="1:2" x14ac:dyDescent="0.35">
      <c r="A38" s="26" t="str">
        <f>IF(INDEX(Pantry!$I$7:$I$68,MATCH($B38,Pantry!$A$7:$A$68,0))&gt;0,"☑","☐")</f>
        <v>☐</v>
      </c>
      <c r="B38" s="42" t="s">
        <v>268</v>
      </c>
    </row>
    <row r="39" spans="1:2" x14ac:dyDescent="0.35">
      <c r="A39" s="26" t="str">
        <f>IF(INDEX(Pantry!$I$7:$I$68,MATCH($B39,Pantry!$A$7:$A$68,0))&gt;0,"☑","☐")</f>
        <v>☑</v>
      </c>
      <c r="B39" s="42" t="s">
        <v>231</v>
      </c>
    </row>
    <row r="40" spans="1:2" x14ac:dyDescent="0.35">
      <c r="A40" s="26" t="str">
        <f>IF(INDEX(Pantry!$I$7:$I$68,MATCH($B40,Pantry!$A$7:$A$68,0))&gt;0,"☑","☐")</f>
        <v>☑</v>
      </c>
      <c r="B40" s="42" t="s">
        <v>221</v>
      </c>
    </row>
    <row r="41" spans="1:2" x14ac:dyDescent="0.35">
      <c r="A41" s="26" t="str">
        <f>IF(INDEX(Pantry!$I$7:$I$68,MATCH($B41,Pantry!$A$7:$A$68,0))&gt;0,"☑","☐")</f>
        <v>☑</v>
      </c>
      <c r="B41" s="42" t="s">
        <v>232</v>
      </c>
    </row>
    <row r="42" spans="1:2" x14ac:dyDescent="0.35">
      <c r="A42" s="26" t="str">
        <f>IF(INDEX(Pantry!$I$7:$I$68,MATCH($B42,Pantry!$A$7:$A$68,0))&gt;0,"☑","☐")</f>
        <v>☑</v>
      </c>
      <c r="B42" s="42" t="s">
        <v>225</v>
      </c>
    </row>
    <row r="43" spans="1:2" x14ac:dyDescent="0.35">
      <c r="A43" s="26" t="str">
        <f>IF(INDEX(Pantry!$I$7:$I$68,MATCH($B43,Pantry!$A$7:$A$68,0))&gt;0,"☑","☐")</f>
        <v>☑</v>
      </c>
      <c r="B43" s="42" t="s">
        <v>206</v>
      </c>
    </row>
    <row r="44" spans="1:2" x14ac:dyDescent="0.35">
      <c r="A44" s="26" t="str">
        <f>IF(INDEX(Pantry!$I$7:$I$68,MATCH($B44,Pantry!$A$7:$A$68,0))&gt;0,"☑","☐")</f>
        <v>☑</v>
      </c>
      <c r="B44" s="42" t="s">
        <v>266</v>
      </c>
    </row>
    <row r="45" spans="1:2" x14ac:dyDescent="0.35">
      <c r="A45" s="26" t="str">
        <f>IF(INDEX(Pantry!$I$7:$I$68,MATCH($B45,Pantry!$A$7:$A$68,0))&gt;0,"☑","☐")</f>
        <v>☑</v>
      </c>
      <c r="B45" s="42" t="s">
        <v>252</v>
      </c>
    </row>
    <row r="46" spans="1:2" x14ac:dyDescent="0.35">
      <c r="A46" s="26" t="str">
        <f>IF(INDEX(Pantry!$I$7:$I$68,MATCH($B46,Pantry!$A$7:$A$68,0))&gt;0,"☑","☐")</f>
        <v>☑</v>
      </c>
      <c r="B46" s="42" t="s">
        <v>215</v>
      </c>
    </row>
    <row r="47" spans="1:2" x14ac:dyDescent="0.35">
      <c r="A47" s="26" t="str">
        <f>IF(INDEX(Pantry!$I$7:$I$68,MATCH($B47,Pantry!$A$7:$A$68,0))&gt;0,"☑","☐")</f>
        <v>☑</v>
      </c>
      <c r="B47" s="42" t="s">
        <v>250</v>
      </c>
    </row>
    <row r="48" spans="1:2" x14ac:dyDescent="0.35">
      <c r="A48" s="26" t="str">
        <f>IF(INDEX(Pantry!$I$7:$I$68,MATCH($B48,Pantry!$A$7:$A$68,0))&gt;0,"☑","☐")</f>
        <v>☐</v>
      </c>
      <c r="B48" s="42" t="s">
        <v>223</v>
      </c>
    </row>
    <row r="49" spans="1:2" x14ac:dyDescent="0.35">
      <c r="A49" s="26" t="str">
        <f>IF(INDEX(Pantry!$I$7:$I$68,MATCH($B49,Pantry!$A$7:$A$68,0))&gt;0,"☑","☐")</f>
        <v>☑</v>
      </c>
      <c r="B49" s="42" t="s">
        <v>239</v>
      </c>
    </row>
    <row r="50" spans="1:2" x14ac:dyDescent="0.35">
      <c r="A50" s="26" t="str">
        <f>IF(INDEX(Pantry!$I$7:$I$68,MATCH($B50,Pantry!$A$7:$A$68,0))&gt;0,"☑","☐")</f>
        <v>☑</v>
      </c>
      <c r="B50" s="42" t="s">
        <v>212</v>
      </c>
    </row>
    <row r="51" spans="1:2" x14ac:dyDescent="0.35">
      <c r="A51" s="26" t="str">
        <f>IF(INDEX(Pantry!$I$7:$I$68,MATCH($B51,Pantry!$A$7:$A$68,0))&gt;0,"☑","☐")</f>
        <v>☑</v>
      </c>
      <c r="B51" s="42" t="s">
        <v>270</v>
      </c>
    </row>
    <row r="52" spans="1:2" x14ac:dyDescent="0.35">
      <c r="A52" s="26" t="str">
        <f>IF(INDEX(Pantry!$I$7:$I$68,MATCH($B52,Pantry!$A$7:$A$68,0))&gt;0,"☑","☐")</f>
        <v>☑</v>
      </c>
      <c r="B52" s="42" t="s">
        <v>251</v>
      </c>
    </row>
    <row r="53" spans="1:2" x14ac:dyDescent="0.35">
      <c r="A53" s="26" t="str">
        <f>IF(INDEX(Pantry!$I$7:$I$68,MATCH($B53,Pantry!$A$7:$A$68,0))&gt;0,"☑","☐")</f>
        <v>☑</v>
      </c>
      <c r="B53" s="42" t="s">
        <v>224</v>
      </c>
    </row>
    <row r="54" spans="1:2" x14ac:dyDescent="0.35">
      <c r="A54" s="26" t="str">
        <f>IF(INDEX(Pantry!$I$7:$I$68,MATCH($B54,Pantry!$A$7:$A$68,0))&gt;0,"☑","☐")</f>
        <v>☑</v>
      </c>
      <c r="B54" s="42" t="s">
        <v>261</v>
      </c>
    </row>
    <row r="55" spans="1:2" x14ac:dyDescent="0.35">
      <c r="A55" s="26" t="str">
        <f>IF(INDEX(Pantry!$I$7:$I$68,MATCH($B55,Pantry!$A$7:$A$68,0))&gt;0,"☑","☐")</f>
        <v>☐</v>
      </c>
      <c r="B55" s="42" t="s">
        <v>274</v>
      </c>
    </row>
    <row r="56" spans="1:2" x14ac:dyDescent="0.35">
      <c r="A56" s="26" t="str">
        <f>IF(INDEX(Pantry!$I$7:$I$68,MATCH($B56,Pantry!$A$7:$A$68,0))&gt;0,"☑","☐")</f>
        <v>☐</v>
      </c>
      <c r="B56" s="42" t="s">
        <v>260</v>
      </c>
    </row>
    <row r="57" spans="1:2" x14ac:dyDescent="0.35">
      <c r="A57" s="26" t="str">
        <f>IF(INDEX(Pantry!$I$7:$I$68,MATCH($B57,Pantry!$A$7:$A$68,0))&gt;0,"☑","☐")</f>
        <v>☑</v>
      </c>
      <c r="B57" s="42" t="s">
        <v>253</v>
      </c>
    </row>
    <row r="58" spans="1:2" x14ac:dyDescent="0.35">
      <c r="A58" s="26" t="str">
        <f>IF(INDEX(Pantry!$I$7:$I$68,MATCH($B58,Pantry!$A$7:$A$68,0))&gt;0,"☑","☐")</f>
        <v>☑</v>
      </c>
      <c r="B58" s="42" t="s">
        <v>255</v>
      </c>
    </row>
    <row r="59" spans="1:2" x14ac:dyDescent="0.35">
      <c r="A59" s="26" t="str">
        <f>IF(INDEX(Pantry!$I$7:$I$68,MATCH($B59,Pantry!$A$7:$A$68,0))&gt;0,"☑","☐")</f>
        <v>☑</v>
      </c>
      <c r="B59" s="42" t="s">
        <v>254</v>
      </c>
    </row>
    <row r="60" spans="1:2" x14ac:dyDescent="0.35">
      <c r="A60" s="26" t="str">
        <f>IF(INDEX(Pantry!$I$7:$I$68,MATCH($B60,Pantry!$A$7:$A$68,0))&gt;0,"☑","☐")</f>
        <v>☑</v>
      </c>
      <c r="B60" s="42" t="s">
        <v>269</v>
      </c>
    </row>
    <row r="61" spans="1:2" x14ac:dyDescent="0.35">
      <c r="A61" s="26" t="str">
        <f>IF(INDEX(Pantry!$I$7:$I$68,MATCH($B61,Pantry!$A$7:$A$68,0))&gt;0,"☑","☐")</f>
        <v>☑</v>
      </c>
      <c r="B61" s="42" t="s">
        <v>240</v>
      </c>
    </row>
    <row r="62" spans="1:2" x14ac:dyDescent="0.35">
      <c r="A62" s="26" t="str">
        <f>IF(INDEX(Pantry!$I$7:$I$68,MATCH($B62,Pantry!$A$7:$A$68,0))&gt;0,"☑","☐")</f>
        <v>☑</v>
      </c>
      <c r="B62" s="42" t="s">
        <v>243</v>
      </c>
    </row>
    <row r="63" spans="1:2" x14ac:dyDescent="0.35">
      <c r="A63" s="26" t="str">
        <f>IF(INDEX(Pantry!$I$7:$I$68,MATCH($B63,Pantry!$A$7:$A$68,0))&gt;0,"☑","☐")</f>
        <v>☐</v>
      </c>
      <c r="B63" s="42" t="s">
        <v>244</v>
      </c>
    </row>
    <row r="64" spans="1:2" x14ac:dyDescent="0.35">
      <c r="A64" s="26" t="str">
        <f>IF(INDEX(Pantry!$I$7:$I$68,MATCH($B64,Pantry!$A$7:$A$68,0))&gt;0,"☑","☐")</f>
        <v>☑</v>
      </c>
      <c r="B64" s="42" t="s">
        <v>271</v>
      </c>
    </row>
    <row r="65" spans="1:2" x14ac:dyDescent="0.35">
      <c r="A65" s="26" t="str">
        <f>IF(INDEX(Pantry!$I$7:$I$68,MATCH($B65,Pantry!$A$7:$A$68,0))&gt;0,"☑","☐")</f>
        <v>☐</v>
      </c>
      <c r="B65" s="42" t="s">
        <v>229</v>
      </c>
    </row>
  </sheetData>
  <conditionalFormatting sqref="A4:B65">
    <cfRule type="expression" dxfId="2" priority="2">
      <formula>$A4="☑"</formula>
    </cfRule>
  </conditionalFormatting>
  <conditionalFormatting sqref="G4:G25">
    <cfRule type="colorScale" priority="3">
      <colorScale>
        <cfvo type="num" val="0"/>
        <cfvo type="num" val="0.7"/>
        <cfvo type="num" val="1"/>
        <color rgb="FFF8BBD0"/>
        <color rgb="FFFFF59D"/>
        <color rgb="FFA5D6A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7043"/>
  </sheetPr>
  <dimension ref="B2:G27"/>
  <sheetViews>
    <sheetView showGridLines="0" topLeftCell="A8" zoomScaleNormal="100" workbookViewId="0">
      <selection activeCell="C3" sqref="C3:E3"/>
    </sheetView>
  </sheetViews>
  <sheetFormatPr defaultColWidth="8.6328125" defaultRowHeight="14.5" x14ac:dyDescent="0.35"/>
  <cols>
    <col min="1" max="1" width="2" customWidth="1"/>
    <col min="2" max="2" width="26" customWidth="1"/>
    <col min="3" max="3" width="10" customWidth="1"/>
    <col min="4" max="4" width="7" customWidth="1"/>
    <col min="5" max="5" width="10" customWidth="1"/>
    <col min="6" max="6" width="18" customWidth="1"/>
  </cols>
  <sheetData>
    <row r="2" spans="2:7" ht="20" x14ac:dyDescent="0.4">
      <c r="B2" s="32" t="s">
        <v>318</v>
      </c>
      <c r="C2" s="14"/>
      <c r="D2" s="14"/>
      <c r="E2" s="14"/>
      <c r="F2" s="14"/>
      <c r="G2" s="14"/>
    </row>
    <row r="3" spans="2:7" ht="15.5" x14ac:dyDescent="0.35">
      <c r="B3" s="71" t="s">
        <v>319</v>
      </c>
      <c r="C3" s="2" t="s">
        <v>59</v>
      </c>
      <c r="D3" s="2"/>
      <c r="E3" s="2"/>
    </row>
    <row r="4" spans="2:7" x14ac:dyDescent="0.35">
      <c r="B4" s="72" t="s">
        <v>320</v>
      </c>
      <c r="C4" t="str">
        <f>IF($C$3="","",INDEX(Lists!$C$2:$C$23,MATCH($C$3,Lists!$B$2:$B$23,0))&amp;" persons")</f>
        <v>4 persons</v>
      </c>
      <c r="F4" s="73" t="str">
        <f>IF($C$3="","",HYPERLINK(INDEX(Lists!$E$2:$E$23,MATCH($C$3,Lists!$B$2:$B$23,0)),"&gt; WATCH VIDEO"))</f>
        <v>&gt; WATCH VIDEO</v>
      </c>
    </row>
    <row r="5" spans="2:7" x14ac:dyDescent="0.35">
      <c r="B5" s="72" t="s">
        <v>321</v>
      </c>
      <c r="C5" t="str">
        <f>IF($C$3="","",Home!$D$5&amp;" persons (change on Home)")</f>
        <v>1 persons (change on Home)</v>
      </c>
      <c r="F5" s="73" t="str">
        <f>IF($C$3="","",HYPERLINK(INDEX(Lists!$D$2:$D$23,MATCH($C$3,Lists!$B$2:$B$23,0)),"READ FULL RECIPE"))</f>
        <v>READ FULL RECIPE</v>
      </c>
    </row>
    <row r="6" spans="2:7" x14ac:dyDescent="0.35">
      <c r="B6" s="72" t="s">
        <v>322</v>
      </c>
      <c r="C6" t="str">
        <f>IF($C$3="","",INDEX(Recipes!$D$6:$D$27,MATCH($C$3,Recipes!$B$6:$B$27,0)))</f>
        <v>45 min</v>
      </c>
    </row>
    <row r="7" spans="2:7" ht="25.5" customHeight="1" x14ac:dyDescent="0.35">
      <c r="B7" s="72" t="s">
        <v>323</v>
      </c>
      <c r="C7" s="1" t="str">
        <f>IF($C$3="","",INDEX(Recipes!$H$6:$H$27,MATCH($C$3,Recipes!$B$6:$B$27,0)))</f>
        <v>Dry-style mash daal; ginger julienne + butter tadka on top.</v>
      </c>
      <c r="D7" s="1"/>
      <c r="E7" s="1"/>
      <c r="F7" s="1"/>
      <c r="G7" s="1"/>
    </row>
    <row r="9" spans="2:7" x14ac:dyDescent="0.35">
      <c r="B9" s="20" t="s">
        <v>193</v>
      </c>
      <c r="C9" s="20" t="s">
        <v>324</v>
      </c>
      <c r="D9" s="20" t="s">
        <v>195</v>
      </c>
      <c r="E9" s="20" t="s">
        <v>325</v>
      </c>
      <c r="F9" s="20" t="s">
        <v>286</v>
      </c>
    </row>
    <row r="10" spans="2:7" x14ac:dyDescent="0.35">
      <c r="B10" s="42" t="str">
        <f t="array" ref="B10">IFERROR(INDEX(Data!$C$3:$C$278,SMALL(IF(Data!$B$3:$B$278=$C$3,ROW(Data!$B$3:$B$278)-2),1)),"")</f>
        <v>Mash_Daal</v>
      </c>
      <c r="C10" s="42">
        <f>IF($B10="","",ROUND(SUMIFS(Data!$G$3:$G$278,Data!$B$3:$B$278,$C$3,Data!$C$3:$C$278,$B10)*Home!$D$5,2))</f>
        <v>75</v>
      </c>
      <c r="D10" s="42" t="str">
        <f>IF($B10="","",VLOOKUP($B10,Pantry!$A$7:$C$68,3,0))</f>
        <v>g</v>
      </c>
      <c r="E10" s="42">
        <f>IF($B10="","",VLOOKUP($B10,Pantry!$A$7:$I$68,9,0))</f>
        <v>250</v>
      </c>
      <c r="F10" s="42" t="str">
        <f t="shared" ref="F10:F27" si="0">IF($B10="","",IF($E10&gt;=$C10-0.0001,"☑ Have it","BUY "&amp;TEXT($C10-$E10,"0.##")&amp;" "&amp;$D10))</f>
        <v>☑ Have it</v>
      </c>
    </row>
    <row r="11" spans="2:7" x14ac:dyDescent="0.35">
      <c r="B11" s="42" t="str">
        <f t="array" ref="B11">IFERROR(INDEX(Data!$C$3:$C$278,SMALL(IF(Data!$B$3:$B$278=$C$3,ROW(Data!$B$3:$B$278)-2),2)),"")</f>
        <v>Onion</v>
      </c>
      <c r="C11" s="42">
        <f>IF($B11="","",ROUND(SUMIFS(Data!$G$3:$G$278,Data!$B$3:$B$278,$C$3,Data!$C$3:$C$278,$B11)*Home!$D$5,2))</f>
        <v>0.25</v>
      </c>
      <c r="D11" s="42" t="str">
        <f>IF($B11="","",VLOOKUP($B11,Pantry!$A$7:$C$68,3,0))</f>
        <v>unit</v>
      </c>
      <c r="E11" s="42">
        <f>IF($B11="","",VLOOKUP($B11,Pantry!$A$7:$I$68,9,0))</f>
        <v>6</v>
      </c>
      <c r="F11" s="42" t="str">
        <f t="shared" si="0"/>
        <v>☑ Have it</v>
      </c>
    </row>
    <row r="12" spans="2:7" x14ac:dyDescent="0.35">
      <c r="B12" s="42" t="str">
        <f t="array" ref="B12">IFERROR(INDEX(Data!$C$3:$C$278,SMALL(IF(Data!$B$3:$B$278=$C$3,ROW(Data!$B$3:$B$278)-2),3)),"")</f>
        <v>Tomato</v>
      </c>
      <c r="C12" s="42">
        <f>IF($B12="","",ROUND(SUMIFS(Data!$G$3:$G$278,Data!$B$3:$B$278,$C$3,Data!$C$3:$C$278,$B12)*Home!$D$5,2))</f>
        <v>0.25</v>
      </c>
      <c r="D12" s="42" t="str">
        <f>IF($B12="","",VLOOKUP($B12,Pantry!$A$7:$C$68,3,0))</f>
        <v>unit</v>
      </c>
      <c r="E12" s="42">
        <f>IF($B12="","",VLOOKUP($B12,Pantry!$A$7:$I$68,9,0))</f>
        <v>4</v>
      </c>
      <c r="F12" s="42" t="str">
        <f t="shared" si="0"/>
        <v>☑ Have it</v>
      </c>
    </row>
    <row r="13" spans="2:7" x14ac:dyDescent="0.35">
      <c r="B13" s="42" t="str">
        <f t="array" ref="B13">IFERROR(INDEX(Data!$C$3:$C$278,SMALL(IF(Data!$B$3:$B$278=$C$3,ROW(Data!$B$3:$B$278)-2),4)),"")</f>
        <v>Ginger</v>
      </c>
      <c r="C13" s="42">
        <f>IF($B13="","",ROUND(SUMIFS(Data!$G$3:$G$278,Data!$B$3:$B$278,$C$3,Data!$C$3:$C$278,$B13)*Home!$D$5,2))</f>
        <v>0.5</v>
      </c>
      <c r="D13" s="42" t="str">
        <f>IF($B13="","",VLOOKUP($B13,Pantry!$A$7:$C$68,3,0))</f>
        <v>inch</v>
      </c>
      <c r="E13" s="42">
        <f>IF($B13="","",VLOOKUP($B13,Pantry!$A$7:$I$68,9,0))</f>
        <v>3</v>
      </c>
      <c r="F13" s="42" t="str">
        <f t="shared" si="0"/>
        <v>☑ Have it</v>
      </c>
    </row>
    <row r="14" spans="2:7" x14ac:dyDescent="0.35">
      <c r="B14" s="42" t="str">
        <f t="array" ref="B14">IFERROR(INDEX(Data!$C$3:$C$278,SMALL(IF(Data!$B$3:$B$278=$C$3,ROW(Data!$B$3:$B$278)-2),5)),"")</f>
        <v>Green_Chilli</v>
      </c>
      <c r="C14" s="42">
        <f>IF($B14="","",ROUND(SUMIFS(Data!$G$3:$G$278,Data!$B$3:$B$278,$C$3,Data!$C$3:$C$278,$B14)*Home!$D$5,2))</f>
        <v>0.75</v>
      </c>
      <c r="D14" s="42" t="str">
        <f>IF($B14="","",VLOOKUP($B14,Pantry!$A$7:$C$68,3,0))</f>
        <v>unit</v>
      </c>
      <c r="E14" s="42">
        <f>IF($B14="","",VLOOKUP($B14,Pantry!$A$7:$I$68,9,0))</f>
        <v>10</v>
      </c>
      <c r="F14" s="42" t="str">
        <f t="shared" si="0"/>
        <v>☑ Have it</v>
      </c>
    </row>
    <row r="15" spans="2:7" x14ac:dyDescent="0.35">
      <c r="B15" s="42" t="str">
        <f t="array" ref="B15">IFERROR(INDEX(Data!$C$3:$C$278,SMALL(IF(Data!$B$3:$B$278=$C$3,ROW(Data!$B$3:$B$278)-2),6)),"")</f>
        <v>Cumin_Seeds</v>
      </c>
      <c r="C15" s="42">
        <f>IF($B15="","",ROUND(SUMIFS(Data!$G$3:$G$278,Data!$B$3:$B$278,$C$3,Data!$C$3:$C$278,$B15)*Home!$D$5,2))</f>
        <v>0.5</v>
      </c>
      <c r="D15" s="42" t="str">
        <f>IF($B15="","",VLOOKUP($B15,Pantry!$A$7:$C$68,3,0))</f>
        <v>tsp</v>
      </c>
      <c r="E15" s="42">
        <f>IF($B15="","",VLOOKUP($B15,Pantry!$A$7:$I$68,9,0))</f>
        <v>8</v>
      </c>
      <c r="F15" s="42" t="str">
        <f t="shared" si="0"/>
        <v>☑ Have it</v>
      </c>
    </row>
    <row r="16" spans="2:7" x14ac:dyDescent="0.35">
      <c r="B16" s="42" t="str">
        <f t="array" ref="B16">IFERROR(INDEX(Data!$C$3:$C$278,SMALL(IF(Data!$B$3:$B$278=$C$3,ROW(Data!$B$3:$B$278)-2),7)),"")</f>
        <v>Red_Chilli_Powder</v>
      </c>
      <c r="C16" s="42">
        <f>IF($B16="","",ROUND(SUMIFS(Data!$G$3:$G$278,Data!$B$3:$B$278,$C$3,Data!$C$3:$C$278,$B16)*Home!$D$5,2))</f>
        <v>0.38</v>
      </c>
      <c r="D16" s="42" t="str">
        <f>IF($B16="","",VLOOKUP($B16,Pantry!$A$7:$C$68,3,0))</f>
        <v>tsp</v>
      </c>
      <c r="E16" s="42">
        <f>IF($B16="","",VLOOKUP($B16,Pantry!$A$7:$I$68,9,0))</f>
        <v>20</v>
      </c>
      <c r="F16" s="42" t="str">
        <f t="shared" si="0"/>
        <v>☑ Have it</v>
      </c>
    </row>
    <row r="17" spans="2:6" x14ac:dyDescent="0.35">
      <c r="B17" s="42" t="str">
        <f t="array" ref="B17">IFERROR(INDEX(Data!$C$3:$C$278,SMALL(IF(Data!$B$3:$B$278=$C$3,ROW(Data!$B$3:$B$278)-2),8)),"")</f>
        <v>Turmeric_Powder</v>
      </c>
      <c r="C17" s="42">
        <f>IF($B17="","",ROUND(SUMIFS(Data!$G$3:$G$278,Data!$B$3:$B$278,$C$3,Data!$C$3:$C$278,$B17)*Home!$D$5,2))</f>
        <v>0.13</v>
      </c>
      <c r="D17" s="42" t="str">
        <f>IF($B17="","",VLOOKUP($B17,Pantry!$A$7:$C$68,3,0))</f>
        <v>tsp</v>
      </c>
      <c r="E17" s="42">
        <f>IF($B17="","",VLOOKUP($B17,Pantry!$A$7:$I$68,9,0))</f>
        <v>15</v>
      </c>
      <c r="F17" s="42" t="str">
        <f t="shared" si="0"/>
        <v>☑ Have it</v>
      </c>
    </row>
    <row r="18" spans="2:6" x14ac:dyDescent="0.35">
      <c r="B18" s="42" t="str">
        <f t="array" ref="B18">IFERROR(INDEX(Data!$C$3:$C$278,SMALL(IF(Data!$B$3:$B$278=$C$3,ROW(Data!$B$3:$B$278)-2),9)),"")</f>
        <v>Cooking_Oil</v>
      </c>
      <c r="C18" s="42">
        <f>IF($B18="","",ROUND(SUMIFS(Data!$G$3:$G$278,Data!$B$3:$B$278,$C$3,Data!$C$3:$C$278,$B18)*Home!$D$5,2))</f>
        <v>0.13</v>
      </c>
      <c r="D18" s="42" t="str">
        <f>IF($B18="","",VLOOKUP($B18,Pantry!$A$7:$C$68,3,0))</f>
        <v>cup</v>
      </c>
      <c r="E18" s="42">
        <f>IF($B18="","",VLOOKUP($B18,Pantry!$A$7:$I$68,9,0))</f>
        <v>5</v>
      </c>
      <c r="F18" s="42" t="str">
        <f t="shared" si="0"/>
        <v>☑ Have it</v>
      </c>
    </row>
    <row r="19" spans="2:6" x14ac:dyDescent="0.35">
      <c r="B19" s="42" t="str">
        <f t="array" ref="B19">IFERROR(INDEX(Data!$C$3:$C$278,SMALL(IF(Data!$B$3:$B$278=$C$3,ROW(Data!$B$3:$B$278)-2),10)),"")</f>
        <v>Salt</v>
      </c>
      <c r="C19" s="42">
        <f>IF($B19="","",ROUND(SUMIFS(Data!$G$3:$G$278,Data!$B$3:$B$278,$C$3,Data!$C$3:$C$278,$B19)*Home!$D$5,2))</f>
        <v>0.38</v>
      </c>
      <c r="D19" s="42" t="str">
        <f>IF($B19="","",VLOOKUP($B19,Pantry!$A$7:$C$68,3,0))</f>
        <v>tsp</v>
      </c>
      <c r="E19" s="42">
        <f>IF($B19="","",VLOOKUP($B19,Pantry!$A$7:$I$68,9,0))</f>
        <v>50</v>
      </c>
      <c r="F19" s="42" t="str">
        <f t="shared" si="0"/>
        <v>☑ Have it</v>
      </c>
    </row>
    <row r="20" spans="2:6" x14ac:dyDescent="0.35">
      <c r="B20" s="42" t="str">
        <f t="array" ref="B20">IFERROR(INDEX(Data!$C$3:$C$278,SMALL(IF(Data!$B$3:$B$278=$C$3,ROW(Data!$B$3:$B$278)-2),11)),"")</f>
        <v>Fresh_Coriander</v>
      </c>
      <c r="C20" s="42">
        <f>IF($B20="","",ROUND(SUMIFS(Data!$G$3:$G$278,Data!$B$3:$B$278,$C$3,Data!$C$3:$C$278,$B20)*Home!$D$5,2))</f>
        <v>0.13</v>
      </c>
      <c r="D20" s="42" t="str">
        <f>IF($B20="","",VLOOKUP($B20,Pantry!$A$7:$C$68,3,0))</f>
        <v>bunch</v>
      </c>
      <c r="E20" s="42">
        <f>IF($B20="","",VLOOKUP($B20,Pantry!$A$7:$I$68,9,0))</f>
        <v>2</v>
      </c>
      <c r="F20" s="42" t="str">
        <f t="shared" si="0"/>
        <v>☑ Have it</v>
      </c>
    </row>
    <row r="21" spans="2:6" x14ac:dyDescent="0.35">
      <c r="B21" s="42" t="str">
        <f t="array" ref="B21">IFERROR(INDEX(Data!$C$3:$C$278,SMALL(IF(Data!$B$3:$B$278=$C$3,ROW(Data!$B$3:$B$278)-2),12)),"")</f>
        <v>Butter</v>
      </c>
      <c r="C21" s="42">
        <f>IF($B21="","",ROUND(SUMIFS(Data!$G$3:$G$278,Data!$B$3:$B$278,$C$3,Data!$C$3:$C$278,$B21)*Home!$D$5,2))</f>
        <v>0.5</v>
      </c>
      <c r="D21" s="42" t="str">
        <f>IF($B21="","",VLOOKUP($B21,Pantry!$A$7:$C$68,3,0))</f>
        <v>tbsp</v>
      </c>
      <c r="E21" s="42">
        <f>IF($B21="","",VLOOKUP($B21,Pantry!$A$7:$I$68,9,0))</f>
        <v>8</v>
      </c>
      <c r="F21" s="42" t="str">
        <f t="shared" si="0"/>
        <v>☑ Have it</v>
      </c>
    </row>
    <row r="22" spans="2:6" x14ac:dyDescent="0.35">
      <c r="B22" s="42" t="str">
        <f t="array" ref="B22">IFERROR(INDEX(Data!$C$3:$C$278,SMALL(IF(Data!$B$3:$B$278=$C$3,ROW(Data!$B$3:$B$278)-2),13)),"")</f>
        <v/>
      </c>
      <c r="C22" s="42" t="str">
        <f>IF($B22="","",ROUND(SUMIFS(Data!$G$3:$G$278,Data!$B$3:$B$278,$C$3,Data!$C$3:$C$278,$B22)*Home!$D$5,2))</f>
        <v/>
      </c>
      <c r="D22" s="42" t="str">
        <f>IF($B22="","",VLOOKUP($B22,Pantry!$A$7:$C$68,3,0))</f>
        <v/>
      </c>
      <c r="E22" s="42" t="str">
        <f>IF($B22="","",VLOOKUP($B22,Pantry!$A$7:$I$68,9,0))</f>
        <v/>
      </c>
      <c r="F22" s="42" t="str">
        <f t="shared" si="0"/>
        <v/>
      </c>
    </row>
    <row r="23" spans="2:6" x14ac:dyDescent="0.35">
      <c r="B23" s="42" t="str">
        <f t="array" ref="B23">IFERROR(INDEX(Data!$C$3:$C$278,SMALL(IF(Data!$B$3:$B$278=$C$3,ROW(Data!$B$3:$B$278)-2),14)),"")</f>
        <v/>
      </c>
      <c r="C23" s="42" t="str">
        <f>IF($B23="","",ROUND(SUMIFS(Data!$G$3:$G$278,Data!$B$3:$B$278,$C$3,Data!$C$3:$C$278,$B23)*Home!$D$5,2))</f>
        <v/>
      </c>
      <c r="D23" s="42" t="str">
        <f>IF($B23="","",VLOOKUP($B23,Pantry!$A$7:$C$68,3,0))</f>
        <v/>
      </c>
      <c r="E23" s="42" t="str">
        <f>IF($B23="","",VLOOKUP($B23,Pantry!$A$7:$I$68,9,0))</f>
        <v/>
      </c>
      <c r="F23" s="42" t="str">
        <f t="shared" si="0"/>
        <v/>
      </c>
    </row>
    <row r="24" spans="2:6" x14ac:dyDescent="0.35">
      <c r="B24" s="42" t="str">
        <f t="array" ref="B24">IFERROR(INDEX(Data!$C$3:$C$278,SMALL(IF(Data!$B$3:$B$278=$C$3,ROW(Data!$B$3:$B$278)-2),15)),"")</f>
        <v/>
      </c>
      <c r="C24" s="42" t="str">
        <f>IF($B24="","",ROUND(SUMIFS(Data!$G$3:$G$278,Data!$B$3:$B$278,$C$3,Data!$C$3:$C$278,$B24)*Home!$D$5,2))</f>
        <v/>
      </c>
      <c r="D24" s="42" t="str">
        <f>IF($B24="","",VLOOKUP($B24,Pantry!$A$7:$C$68,3,0))</f>
        <v/>
      </c>
      <c r="E24" s="42" t="str">
        <f>IF($B24="","",VLOOKUP($B24,Pantry!$A$7:$I$68,9,0))</f>
        <v/>
      </c>
      <c r="F24" s="42" t="str">
        <f t="shared" si="0"/>
        <v/>
      </c>
    </row>
    <row r="25" spans="2:6" x14ac:dyDescent="0.35">
      <c r="B25" s="42" t="str">
        <f t="array" ref="B25">IFERROR(INDEX(Data!$C$3:$C$278,SMALL(IF(Data!$B$3:$B$278=$C$3,ROW(Data!$B$3:$B$278)-2),16)),"")</f>
        <v/>
      </c>
      <c r="C25" s="42" t="str">
        <f>IF($B25="","",ROUND(SUMIFS(Data!$G$3:$G$278,Data!$B$3:$B$278,$C$3,Data!$C$3:$C$278,$B25)*Home!$D$5,2))</f>
        <v/>
      </c>
      <c r="D25" s="42" t="str">
        <f>IF($B25="","",VLOOKUP($B25,Pantry!$A$7:$C$68,3,0))</f>
        <v/>
      </c>
      <c r="E25" s="42" t="str">
        <f>IF($B25="","",VLOOKUP($B25,Pantry!$A$7:$I$68,9,0))</f>
        <v/>
      </c>
      <c r="F25" s="42" t="str">
        <f t="shared" si="0"/>
        <v/>
      </c>
    </row>
    <row r="26" spans="2:6" x14ac:dyDescent="0.35">
      <c r="B26" s="42" t="str">
        <f t="array" ref="B26">IFERROR(INDEX(Data!$C$3:$C$278,SMALL(IF(Data!$B$3:$B$278=$C$3,ROW(Data!$B$3:$B$278)-2),17)),"")</f>
        <v/>
      </c>
      <c r="C26" s="42" t="str">
        <f>IF($B26="","",ROUND(SUMIFS(Data!$G$3:$G$278,Data!$B$3:$B$278,$C$3,Data!$C$3:$C$278,$B26)*Home!$D$5,2))</f>
        <v/>
      </c>
      <c r="D26" s="42" t="str">
        <f>IF($B26="","",VLOOKUP($B26,Pantry!$A$7:$C$68,3,0))</f>
        <v/>
      </c>
      <c r="E26" s="42" t="str">
        <f>IF($B26="","",VLOOKUP($B26,Pantry!$A$7:$I$68,9,0))</f>
        <v/>
      </c>
      <c r="F26" s="42" t="str">
        <f t="shared" si="0"/>
        <v/>
      </c>
    </row>
    <row r="27" spans="2:6" x14ac:dyDescent="0.35">
      <c r="B27" s="42" t="str">
        <f t="array" ref="B27">IFERROR(INDEX(Data!$C$3:$C$278,SMALL(IF(Data!$B$3:$B$278=$C$3,ROW(Data!$B$3:$B$278)-2),18)),"")</f>
        <v/>
      </c>
      <c r="C27" s="42" t="str">
        <f>IF($B27="","",ROUND(SUMIFS(Data!$G$3:$G$278,Data!$B$3:$B$278,$C$3,Data!$C$3:$C$278,$B27)*Home!$D$5,2))</f>
        <v/>
      </c>
      <c r="D27" s="42" t="str">
        <f>IF($B27="","",VLOOKUP($B27,Pantry!$A$7:$C$68,3,0))</f>
        <v/>
      </c>
      <c r="E27" s="42" t="str">
        <f>IF($B27="","",VLOOKUP($B27,Pantry!$A$7:$I$68,9,0))</f>
        <v/>
      </c>
      <c r="F27" s="42" t="str">
        <f t="shared" si="0"/>
        <v/>
      </c>
    </row>
  </sheetData>
  <mergeCells count="2">
    <mergeCell ref="C3:E3"/>
    <mergeCell ref="C7:G7"/>
  </mergeCells>
  <conditionalFormatting sqref="F10:F27">
    <cfRule type="expression" dxfId="1" priority="2">
      <formula>LEFT($F10,3)="BUY"</formula>
    </cfRule>
    <cfRule type="expression" dxfId="0" priority="3">
      <formula>LEFT($F10,1)="☑"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Lists!$B$2:$B$23</xm:f>
          </x14:formula1>
          <x14:formula2>
            <xm:f>0</xm:f>
          </x14:formula2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Lists</vt:lpstr>
      <vt:lpstr>Recipes</vt:lpstr>
      <vt:lpstr>Data</vt:lpstr>
      <vt:lpstr>Pantry</vt:lpstr>
      <vt:lpstr>Shopping List</vt:lpstr>
      <vt:lpstr>What Can I Cook</vt:lpstr>
      <vt:lpstr>Recipe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Aly Jafferani</cp:lastModifiedBy>
  <cp:revision>0</cp:revision>
  <dcterms:created xsi:type="dcterms:W3CDTF">2026-07-07T07:08:25Z</dcterms:created>
  <dcterms:modified xsi:type="dcterms:W3CDTF">2026-07-07T07:26:36Z</dcterms:modified>
  <dc:language>en-US</dc:language>
</cp:coreProperties>
</file>