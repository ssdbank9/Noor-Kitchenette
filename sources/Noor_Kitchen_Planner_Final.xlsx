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Lists" sheetId="2" state="hidden" r:id="rId4"/>
    <sheet name="Recipes" sheetId="3" state="visible" r:id="rId5"/>
    <sheet name="Data" sheetId="4" state="visible" r:id="rId6"/>
    <sheet name="Pantry" sheetId="5" state="visible" r:id="rId7"/>
    <sheet name="Shopping List" sheetId="6" state="visible" r:id="rId8"/>
    <sheet name="What Can I Cook" sheetId="7" state="visible" r:id="rId9"/>
    <sheet name="Recipe C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<sst xmlns="http://schemas.openxmlformats.org/spreadsheetml/2006/main" count="2038" uniqueCount="327">
  <si>
    <t xml:space="preserve">Noor's Kitchen Planner</t>
  </si>
  <si>
    <t xml:space="preserve">20 beloved Pakistani dishes, one clever spreadsheet. Happy cooking!</t>
  </si>
  <si>
    <t xml:space="preserve">Cooking for how many people?</t>
  </si>
  <si>
    <t xml:space="preserve">&lt;- every quantity, match % and shopping amount rescales instantly</t>
  </si>
  <si>
    <t xml:space="preserve">Live Kitchen Dashboard</t>
  </si>
  <si>
    <t xml:space="preserve">Meals ready right now (100% match):</t>
  </si>
  <si>
    <t xml:space="preserve">Items to buy this week:</t>
  </si>
  <si>
    <t xml:space="preserve">Meals logged in the Cook Log:</t>
  </si>
  <si>
    <t xml:space="preserve">Tonight's best match:</t>
  </si>
  <si>
    <t xml:space="preserve">Top 10 - Best Matches Tonight (click to open the recipe)</t>
  </si>
  <si>
    <t xml:space="preserve">Rank</t>
  </si>
  <si>
    <t xml:space="preserve">ID</t>
  </si>
  <si>
    <t xml:space="preserve">Dish</t>
  </si>
  <si>
    <t xml:space="preserve">Match %</t>
  </si>
  <si>
    <t xml:space="preserve">Video</t>
  </si>
  <si>
    <t xml:space="preserve">Recipe</t>
  </si>
  <si>
    <t xml:space="preserve">Cook Log - what did you cook?</t>
  </si>
  <si>
    <t xml:space="preserve">(all dropdowns - pantry deducts the exact scaled amounts instantly)</t>
  </si>
  <si>
    <t xml:space="preserve">Date</t>
  </si>
  <si>
    <t xml:space="preserve">Meal</t>
  </si>
  <si>
    <t xml:space="preserve">People fed</t>
  </si>
  <si>
    <t xml:space="preserve">How it works</t>
  </si>
  <si>
    <t xml:space="preserve">1. Set how many people you're cooking for (yellow box above) - everything rescales: recipe card amounts, availability, match % and dish shopping lists.</t>
  </si>
  <si>
    <t xml:space="preserve">2. Cooked something? Log it above: dish, date, meal, people fed - all dropdowns. The Pantry deducts the exact scaled quantities automatically.</t>
  </si>
  <si>
    <t xml:space="preserve">3. RECIPES tab: search box with instant preview; every dish has a Video and a Written recipe column (best-rated Food Fusion versions).</t>
  </si>
  <si>
    <t xml:space="preserve">4. RECIPE CARD tab: pick a dish, see exactly what you need for your party size, what's in the pantry, and what to buy - with one-click video/recipe links.</t>
  </si>
  <si>
    <t xml:space="preserve">5. PANTRY tab: dish-check panel tells you instantly if you can cook a dish; photo entry = send a fridge/grocery photo to Claude, type in what it reads out.</t>
  </si>
  <si>
    <t xml:space="preserve">6. SHOPPING LIST tab: auto-aggregated by aisle with Islamabad store suggestions; 'Shop for a dish' panel lists exactly what a single dish needs.</t>
  </si>
  <si>
    <t xml:space="preserve">7. Checkboxes everywhere: click the cell, pick the ticked box from the dropdown. On Excel 365 you can also use Insert &gt; Checkbox.</t>
  </si>
  <si>
    <t xml:space="preserve">Keep ingredient names exactly as written (e.g. Ginger_Garlic_Paste) - automation matches on names.</t>
  </si>
  <si>
    <t xml:space="preserve">Made with love for Noor - from your Aly.</t>
  </si>
  <si>
    <t xml:space="preserve">R001</t>
  </si>
  <si>
    <t xml:space="preserve">Chicken Biryani (Extreme)</t>
  </si>
  <si>
    <t xml:space="preserve">https://foodfusion.com/recipe/extreme-chicken-biryani/</t>
  </si>
  <si>
    <t xml:space="preserve">https://www.youtube.com/watch?v=40VJanswaAQ</t>
  </si>
  <si>
    <t xml:space="preserve">Breakfast</t>
  </si>
  <si>
    <t xml:space="preserve">R002</t>
  </si>
  <si>
    <t xml:space="preserve">Chicken Yakhni Pulao</t>
  </si>
  <si>
    <t xml:space="preserve">https://foodfusion.com/recipe/chicken-yakhni-pulao/</t>
  </si>
  <si>
    <t xml:space="preserve">https://www.youtube.com/watch?v=QaZWOGs82Nw</t>
  </si>
  <si>
    <t xml:space="preserve">Lunch</t>
  </si>
  <si>
    <t xml:space="preserve">R003</t>
  </si>
  <si>
    <t xml:space="preserve">Red Beans (Lal Lobia Masala)</t>
  </si>
  <si>
    <t xml:space="preserve">https://foodfusion.com/recipe/lal-lobia-masala/</t>
  </si>
  <si>
    <t xml:space="preserve">https://www.youtube.com/watch?v=mFfYhYCzyVg</t>
  </si>
  <si>
    <t xml:space="preserve">Dinner</t>
  </si>
  <si>
    <t xml:space="preserve">R004</t>
  </si>
  <si>
    <t xml:space="preserve">Chicken Karahi (Fire)</t>
  </si>
  <si>
    <t xml:space="preserve">https://foodfusion.com/recipe/fire-chicken-karahi/</t>
  </si>
  <si>
    <t xml:space="preserve">https://www.youtube.com/watch?v=T3pQmbC1GW4</t>
  </si>
  <si>
    <t xml:space="preserve">Chai / Snack</t>
  </si>
  <si>
    <t xml:space="preserve">R005</t>
  </si>
  <si>
    <t xml:space="preserve">Chicken Qorma</t>
  </si>
  <si>
    <t xml:space="preserve">https://www.foodfusion.com/recipe/chicken-korma/</t>
  </si>
  <si>
    <t xml:space="preserve">https://www.youtube.com/watch?v=9jOH3TEB-NI</t>
  </si>
  <si>
    <t xml:space="preserve">R006a</t>
  </si>
  <si>
    <t xml:space="preserve">Daal Chana (Masala)</t>
  </si>
  <si>
    <t xml:space="preserve">https://www.foodfusion.com/recipe/masala-chana-daal/</t>
  </si>
  <si>
    <t xml:space="preserve">https://www.youtube.com/watch?v=72Sy9j7DLVk</t>
  </si>
  <si>
    <t xml:space="preserve">R006b</t>
  </si>
  <si>
    <t xml:space="preserve">Daal Mash with Tadka</t>
  </si>
  <si>
    <t xml:space="preserve">https://www.foodfusion.com/recipe/mash-daal-with-tadka/</t>
  </si>
  <si>
    <t xml:space="preserve">https://www.youtube.com/watch?v=iyO-3eD_fs8</t>
  </si>
  <si>
    <t xml:space="preserve">R006c</t>
  </si>
  <si>
    <t xml:space="preserve">Daal Masoor (Malka)</t>
  </si>
  <si>
    <t xml:space="preserve">https://www.foodfusion.com/recipe/malka-masoor-daal-with-quick-achaar/</t>
  </si>
  <si>
    <t xml:space="preserve">https://www.youtube.com/watch?v=s1rA4kd1Wfg</t>
  </si>
  <si>
    <t xml:space="preserve">R007</t>
  </si>
  <si>
    <t xml:space="preserve">Beef Salan (Aloo Gosht, Delhi)</t>
  </si>
  <si>
    <t xml:space="preserve">https://www.foodfusion.com/recipe/aloo-ghosht-delhi-style-recipe/</t>
  </si>
  <si>
    <t xml:space="preserve">https://www.youtube.com/watch?v=cbzmggwKZbw</t>
  </si>
  <si>
    <t xml:space="preserve">R008</t>
  </si>
  <si>
    <t xml:space="preserve">Shami Kabab</t>
  </si>
  <si>
    <t xml:space="preserve">https://www.foodfusion.com/recipe/shami-kabab-recipe/</t>
  </si>
  <si>
    <t xml:space="preserve">https://www.youtube.com/watch?v=vhXMVKd1OGI</t>
  </si>
  <si>
    <t xml:space="preserve">R009</t>
  </si>
  <si>
    <t xml:space="preserve">Chicken Manchurian</t>
  </si>
  <si>
    <t xml:space="preserve">https://www.foodfusion.com/recipe/chicken-manchurian/</t>
  </si>
  <si>
    <t xml:space="preserve">https://www.youtube.com/watch?v=WM-i9wGT4zk</t>
  </si>
  <si>
    <t xml:space="preserve">R010</t>
  </si>
  <si>
    <t xml:space="preserve">Chinese Fried Rice</t>
  </si>
  <si>
    <t xml:space="preserve">https://www.foodfusion.com/recipe/chinese-fried-rice/</t>
  </si>
  <si>
    <t xml:space="preserve">https://www.youtube.com/watch?v=P2tIt4bZNmI</t>
  </si>
  <si>
    <t xml:space="preserve">R011</t>
  </si>
  <si>
    <t xml:space="preserve">One Pot Spicy Pasta</t>
  </si>
  <si>
    <t xml:space="preserve">https://foodfusion.com/recipe/one-pot-spicy-pasta/</t>
  </si>
  <si>
    <t xml:space="preserve">https://www.youtube.com/watch?v=a6nYTLyi6sU</t>
  </si>
  <si>
    <t xml:space="preserve">R012</t>
  </si>
  <si>
    <t xml:space="preserve">Chicken Macaroni (Korma-style)</t>
  </si>
  <si>
    <t xml:space="preserve">https://www.foodfusion.com/recipe/chicken-korma-masala/</t>
  </si>
  <si>
    <t xml:space="preserve">https://www.youtube.com/watch?v=1epkIJdJCds</t>
  </si>
  <si>
    <t xml:space="preserve">R013</t>
  </si>
  <si>
    <t xml:space="preserve">Bhindi (Masala Aloo Bhindi)</t>
  </si>
  <si>
    <t xml:space="preserve">https://foodfusion.com/recipe/masala-aloo-bhindi/</t>
  </si>
  <si>
    <t xml:space="preserve">https://www.youtube.com/watch?v=NZwQExS8u9k</t>
  </si>
  <si>
    <t xml:space="preserve">R014</t>
  </si>
  <si>
    <t xml:space="preserve">Gobi Masala (Dhaba Style)</t>
  </si>
  <si>
    <t xml:space="preserve">https://foodfusion.com/recipe/dhaba-style-mix-vegetable/</t>
  </si>
  <si>
    <t xml:space="preserve">https://www.youtube.com/watch?v=L7LXJ7FiRPA</t>
  </si>
  <si>
    <t xml:space="preserve">R015</t>
  </si>
  <si>
    <t xml:space="preserve">Karela (Qeema Karelay)</t>
  </si>
  <si>
    <t xml:space="preserve">https://www.foodfusion.com/recipe/qeema-karaley/</t>
  </si>
  <si>
    <t xml:space="preserve">https://www.youtube.com/watch?v=C2p7idVXhE8</t>
  </si>
  <si>
    <t xml:space="preserve">R016</t>
  </si>
  <si>
    <t xml:space="preserve">Aalu (Masala Aloo)</t>
  </si>
  <si>
    <t xml:space="preserve">https://www.foodfusion.com/recipe/masala-aloo-recipe/</t>
  </si>
  <si>
    <t xml:space="preserve">https://www.youtube.com/watch?v=cwps_0u-vPQ</t>
  </si>
  <si>
    <t xml:space="preserve">R017</t>
  </si>
  <si>
    <t xml:space="preserve">Qeema (Dhaba Style Aloo Qeema)</t>
  </si>
  <si>
    <t xml:space="preserve">https://foodfusion.com/recipe/dhaba-style-aloo-qeema/</t>
  </si>
  <si>
    <t xml:space="preserve">https://www.youtube.com/shorts/qVQCbXiU7_A</t>
  </si>
  <si>
    <t xml:space="preserve">R018</t>
  </si>
  <si>
    <t xml:space="preserve">Beef Nihari</t>
  </si>
  <si>
    <t xml:space="preserve">https://www.foodfusion.com/recipe/perfect-beef-nihari-recipe/</t>
  </si>
  <si>
    <t xml:space="preserve">https://www.youtube.com/watch?v=mZOXDAvMCM4</t>
  </si>
  <si>
    <t xml:space="preserve">R019</t>
  </si>
  <si>
    <t xml:space="preserve">Khichri (Spicy Fried Khichdi)</t>
  </si>
  <si>
    <t xml:space="preserve">https://www.foodfusion.com/recipe/spicy-fried-khichdi-recipe/</t>
  </si>
  <si>
    <t xml:space="preserve">https://www.youtube.com/watch?v=H71MWbyhO0E</t>
  </si>
  <si>
    <t xml:space="preserve">R020</t>
  </si>
  <si>
    <t xml:space="preserve">Saag (Sarson Ka Saag)</t>
  </si>
  <si>
    <t xml:space="preserve">https://www.foodfusion.com/recipe/sarson-ka-saag-recipe/</t>
  </si>
  <si>
    <t xml:space="preserve">https://www.youtube.com/watch?v=XH2_pWrguvI</t>
  </si>
  <si>
    <t xml:space="preserve">Recipes - 20 Pakistani Classics</t>
  </si>
  <si>
    <t xml:space="preserve">Pick a dish in the yellow search box for an instant preview, or browse the table. Video and written recipe are one click away.</t>
  </si>
  <si>
    <t xml:space="preserve">Find a recipe:</t>
  </si>
  <si>
    <t xml:space="preserve">Recipe_ID</t>
  </si>
  <si>
    <t xml:space="preserve">Recipe_Name</t>
  </si>
  <si>
    <t xml:space="preserve">Serves (persons)</t>
  </si>
  <si>
    <t xml:space="preserve">Prep/Cook Time</t>
  </si>
  <si>
    <t xml:space="preserve">Video Recipe</t>
  </si>
  <si>
    <t xml:space="preserve">Written Recipe</t>
  </si>
  <si>
    <t xml:space="preserve">Full Ingredient List</t>
  </si>
  <si>
    <t xml:space="preserve">Notes</t>
  </si>
  <si>
    <t xml:space="preserve">1 hr 15 min</t>
  </si>
  <si>
    <t xml:space="preserve">&gt; Watch video</t>
  </si>
  <si>
    <t xml:space="preserve">Read recipe</t>
  </si>
  <si>
    <t xml:space="preserve">Chicken - 1 kg
Basmati Rice - 0.75 kg
Onion - 3 unit
Tomato - 3 unit
Yogurt - 1 cup
Ginger Garlic Paste - 2 tbsp
Biryani Masala - 3 tbsp
Cooking Oil - 1 cup
Mint - 1 bunch
Fresh Coriander - 1 bunch
Green Chilli - 6 unit
Lemon - 1 unit
Salt - 2 tsp
Fried Onion - 1 cup
Kewra Water - 1 tsp</t>
  </si>
  <si>
    <t xml:space="preserve">Medium-hot, layered dum biryani. Use aged basmati; kewra at the end.</t>
  </si>
  <si>
    <t xml:space="preserve">1 hr</t>
  </si>
  <si>
    <t xml:space="preserve">Chicken - 1 kg
Basmati Rice - 0.75 kg
Onion - 2 unit
Whole Spices Mix - 2 tbsp
Cumin Seeds - 2 tsp
Coriander Seeds - 2 tsp
Fennel Seeds - 2 tsp
Ginger Garlic Paste - 2 tbsp
Yogurt - 0.5 cup
Cooking Oil - 0.75 cup
Salt - 2 tsp
Green Chilli - 4 unit</t>
  </si>
  <si>
    <t xml:space="preserve">Mild, whole-spice yakhni. Strain stock well for clear grains.</t>
  </si>
  <si>
    <t xml:space="preserve">1 hr 10 min</t>
  </si>
  <si>
    <t xml:space="preserve">Red Kidney Beans - 375 g
Onion - 2 unit
Tomato - 3 unit
Ginger Garlic Paste - 1.5 tbsp
Red Chilli Powder - 2 tsp
Turmeric Powder - 0.5 tsp
Coriander Powder - 2 tsp
Cumin Seeds - 1 tsp
Garam Masala Powder - 1 tsp
Cooking Oil - 0.5 cup
Salt - 1.5 tsp
Fresh Coriander - 0.5 bunch</t>
  </si>
  <si>
    <t xml:space="preserve">Soak beans overnight; boil 45-50 min until tender. Protein-packed.</t>
  </si>
  <si>
    <t xml:space="preserve">45 min</t>
  </si>
  <si>
    <t xml:space="preserve">Chicken - 1 kg
Tomato - 6 unit
Ginger Garlic Paste - 2 tbsp
Green Chilli - 8 unit
Ginger - 2 inch
Yogurt - 0.5 cup
Red Chilli Powder - 2 tsp
Black Pepper Powder - 1 tsp
Cumin Seeds - 2 tsp
Coriander Seeds - 2 tsp
Cooking Oil - 0.75 cup
Salt - 2 tsp
Fresh Coriander - 0.5 bunch
Butter - 2 tbsp</t>
  </si>
  <si>
    <t xml:space="preserve">Hot &amp; spicy. Authentic karahi = tomatoes and ginger, no onion.</t>
  </si>
  <si>
    <t xml:space="preserve">Chicken - 1 kg
Onion - 3 unit
Yogurt - 1 cup
Ghee - 6 tbsp
Ginger Garlic Paste - 2 tbsp
Whole Spices Mix - 2 tbsp
Red Chilli Powder - 2 tsp
Coriander Powder - 2 tsp
Garam Masala Powder - 1 tsp
Fried Onion - 0.5 cup
Kewra Water - 1 tsp
Salt - 2 tsp</t>
  </si>
  <si>
    <t xml:space="preserve">Shadi-style qorma; fried onion + kewra finish. Ghee makes it.</t>
  </si>
  <si>
    <t xml:space="preserve">50 min</t>
  </si>
  <si>
    <t xml:space="preserve">Chana Daal - 375 g
Onion - 1 unit
Tomato - 2 unit
Green Chilli - 3 unit
Ginger Garlic Paste - 1 tbsp
Cumin Seeds - 2 tsp
Red Chilli Powder - 1.5 tsp
Turmeric Powder - 0.5 tsp
Cooking Oil - 0.5 cup
Salt - 1.5 tsp
Fresh Coriander - 0.5 bunch
Curry Leaves - 2 sprig</t>
  </si>
  <si>
    <t xml:space="preserve">Soak 30 min. Finish with cumin + curry leaf tarka.</t>
  </si>
  <si>
    <t xml:space="preserve">Mash Daal - 300 g
Onion - 1 unit
Tomato - 1 unit
Ginger - 2 inch
Green Chilli - 3 unit
Cumin Seeds - 2 tsp
Red Chilli Powder - 1.5 tsp
Turmeric Powder - 0.5 tsp
Cooking Oil - 0.5 cup
Salt - 1.5 tsp
Fresh Coriander - 0.5 bunch
Butter - 2 tbsp</t>
  </si>
  <si>
    <t xml:space="preserve">Dry-style mash daal; ginger julienne + butter tadka on top.</t>
  </si>
  <si>
    <t xml:space="preserve">40 min</t>
  </si>
  <si>
    <t xml:space="preserve">Masoor Daal - 300 g
Onion - 1 unit
Tomato - 2 unit
Ginger Garlic Paste - 1 tbsp
Cumin Seeds - 1.5 tsp
Red Chilli Powder - 1.5 tsp
Turmeric Powder - 0.75 tsp
Cooking Oil - 0.5 cup
Salt - 1.5 tsp
Curry Leaves - 2 sprig
Green Chilli - 2 unit
Lemon - 1 unit</t>
  </si>
  <si>
    <t xml:space="preserve">Everyday comfort daal; squeeze of lemon lifts it.</t>
  </si>
  <si>
    <t xml:space="preserve">1 hr 30 min</t>
  </si>
  <si>
    <t xml:space="preserve">Beef Boneless - 0.75 kg
Potato - 4 unit
Onion - 3 unit
Ginger Garlic Paste - 2 tbsp
Yogurt - 0.5 cup
Red Chilli Powder - 2 tsp
Kashmiri Red Chilli Powder - 1 tsp
Turmeric Powder - 1 tsp
Coriander Powder - 2 tsp
Whole Spices Mix - 1 tbsp
Cooking Oil - 0.75 cup
Salt - 2 tsp
Fresh Coriander - 0.5 bunch
Green Chilli - 3 unit</t>
  </si>
  <si>
    <t xml:space="preserve">Classic shorba-wala salan; slow-cook beef till tender.</t>
  </si>
  <si>
    <t xml:space="preserve">Beef Mince - 0.5 kg
Chana Daal - 250 g
Onion - 1 unit
Whole Spices Mix - 2 tbsp
Ginger Garlic Paste - 2 tbsp
Turmeric Powder - 1 tsp
Salt - 2 tsp
Coriander Seeds - 2 tsp
Cumin Seeds - 2 tsp
Eggs - 2 unit
Green Chilli - 4 unit
Mint - 0.5 bunch
Fresh Coriander - 0.5 bunch
Cooking Oil - 0.5 cup
Red Chilli Powder - 2 tsp</t>
  </si>
  <si>
    <t xml:space="preserve">Makes 12-14; freeze extras. Wash daal, don't soak it.</t>
  </si>
  <si>
    <t xml:space="preserve">Chicken - 0.5 kg
Eggs - 1 unit
Cornflour - 4 tbsp
Ketchup - 6 tbsp
Chilli Garlic Sauce - 4 tbsp
Soy Sauce - 2 tbsp
Vinegar - 2 tbsp
Sugar - 2 tsp
Black Pepper Powder - 1 tsp
Capsicum - 1 unit
Spring Onion - 2 unit
Cooking Oil - 1 cup
Salt - 1 tsp
Ginger Garlic Paste - 1 tbsp</t>
  </si>
  <si>
    <t xml:space="preserve">Desi-Chinese; sweet, hot &amp; sour. Pair with fried rice (R010).</t>
  </si>
  <si>
    <t xml:space="preserve">30 min</t>
  </si>
  <si>
    <t xml:space="preserve">Basmati Rice - 0.5 kg
Eggs - 2 unit
Carrot - 1 unit
Cabbage - 200 g
Spring Onion - 3 unit
Soy Sauce - 2 tbsp
Vinegar - 1 tbsp
Black Pepper Powder - 1 tsp
Salt - 1 tsp
Cooking Oil - 0.5 cup
Capsicum - 1 unit</t>
  </si>
  <si>
    <t xml:space="preserve">Day-old boiled rice gives the best texture.</t>
  </si>
  <si>
    <t xml:space="preserve">35 min</t>
  </si>
  <si>
    <t xml:space="preserve">Pasta - 250 g
Chicken - 0.25 kg
Onion - 1 unit
Tomato - 2 unit
Ginger Garlic Paste - 1 tbsp
Red Chilli Powder - 1 tsp
Black Pepper Powder - 1 tsp
Ketchup - 4 tbsp
Chilli Garlic Sauce - 2 tbsp
Cooking Oil - 0.25 cup
Salt - 1 tsp
Capsicum - 1 unit</t>
  </si>
  <si>
    <t xml:space="preserve">Weeknight one-pot; dial chilli up or down.</t>
  </si>
  <si>
    <t xml:space="preserve">Macaroni - 300 g
Chicken - 0.5 kg
Onion - 2 unit
Yogurt - 0.5 cup
Ginger Garlic Paste - 1.5 tbsp
Whole Spices Mix - 1 tbsp
Coriander Powder - 1.5 tsp
Red Chilli Powder - 1.5 tsp
Fried Onion - 0.5 cup
Cooking Oil - 0.5 cup
Salt - 1.5 tsp</t>
  </si>
  <si>
    <t xml:space="preserve">Food Fusion's korma masala served over boiled macaroni - desi twist.</t>
  </si>
  <si>
    <t xml:space="preserve">Okra Bhindi - 500 g
Potato - 2 unit
Onion - 1 unit
Cumin Seeds - 1.5 tsp
Coriander Seeds - 1.5 tsp
Red Chilli Powder - 1.5 tsp
Turmeric Powder - 0.5 tsp
Cooking Oil - 0.5 cup
Salt - 1.5 tsp
Lemon - 1 unit
Green Chilli - 2 unit
Fresh Coriander - 0.5 bunch</t>
  </si>
  <si>
    <t xml:space="preserve">Dry bhindi; lemon at the end keeps it crisp, not slimy.</t>
  </si>
  <si>
    <t xml:space="preserve">Cauliflower Gobi - 1 unit
Potato - 2 unit
Carrot - 1 unit
Onion - 2 unit
Tomato - 2 unit
Ginger Garlic Paste - 1.5 tbsp
Cumin Seeds - 1.5 tsp
Red Chilli Powder - 1.5 tsp
Turmeric Powder - 0.75 tsp
Coriander Powder - 1.5 tsp
Cooking Oil - 0.5 cup
Salt - 1.5 tsp
Green Chilli - 3 unit
Fresh Coriander - 0.5 bunch</t>
  </si>
  <si>
    <t xml:space="preserve">Dhaba-style gobi with aloo &amp; carrot; don't overcook the florets.</t>
  </si>
  <si>
    <t xml:space="preserve">1 hr (+1-2 hr salting)</t>
  </si>
  <si>
    <t xml:space="preserve">Bitter Gourd Karela - 500 g
Beef Mince - 0.5 kg
Onion - 2 unit
Tomato - 2 unit
Ginger Garlic Paste - 1.5 tbsp
Red Chilli Powder - 1.5 tsp
Turmeric Powder - 0.75 tsp
Garam Masala Powder - 1 tsp
Cooking Oil - 0.75 cup
Salt - 2 tsp
Green Chilli - 3 unit
Fresh Coriander - 0.5 bunch</t>
  </si>
  <si>
    <t xml:space="preserve">Salt &amp; rest karela 1-2 hrs, then wash well to tame bitterness.</t>
  </si>
  <si>
    <t xml:space="preserve">25 min</t>
  </si>
  <si>
    <t xml:space="preserve">Potato - 5 unit
Onion - 1 unit
Tomato - 2 unit
Cumin Seeds - 1.5 tsp
Curry Leaves - 2 sprig
Red Chilli Powder - 1.5 tsp
Turmeric Powder - 0.75 tsp
Cooking Oil - 0.5 cup
Salt - 1.5 tsp
Green Chilli - 3 unit
Fresh Coriander - 0.5 bunch</t>
  </si>
  <si>
    <t xml:space="preserve">Quick potato bhujia; lovely with puri, daal-chawal or paratha.</t>
  </si>
  <si>
    <t xml:space="preserve">Beef Mince - 0.75 kg
Potato - 3 unit
Onion - 2 unit
Tomato - 3 unit
Yogurt - 0.5 cup
Ginger Garlic Paste - 2 tbsp
Whole Spices Mix - 1 tbsp
Red Chilli Powder - 2 tsp
Kashmiri Red Chilli Powder - 1 tsp
Turmeric Powder - 0.75 tsp
Coriander Powder - 2 tsp
Dried Fenugreek Leaves - 1 tsp
Chicken Stock Cube - 1 unit
Cooking Oil - 0.75 cup
Salt - 1.5 tsp</t>
  </si>
  <si>
    <t xml:space="preserve">Dhaba-style; methi (fenugreek) finish is the secret.</t>
  </si>
  <si>
    <t xml:space="preserve">3 hr 30 min</t>
  </si>
  <si>
    <t xml:space="preserve">Beef Shank with Bones - 1.5 kg
Onion - 2 unit
Ginger Garlic Paste - 2 tbsp
Nihari Masala - 4 tbsp
Wheat Flour Atta - 6 tbsp
Gram Flour Besan - 2 tbsp
Ghee - 8 tbsp
Salt - 2 tsp
Ginger - 3 inch
Green Chilli - 4 unit
Lemon - 2 unit
Fresh Coriander - 0.5 bunch</t>
  </si>
  <si>
    <t xml:space="preserve">Slow-cooked shank; serve with ginger julienne, green chilli, lemon &amp; naan.</t>
  </si>
  <si>
    <t xml:space="preserve">Basmati Rice - 0.5 kg
Moong Daal - 250 g
Onion - 1 unit
Whole Spices Mix - 1 tbsp
Ginger Garlic Paste - 1 tbsp
Turmeric Powder - 0.75 tsp
Red Chilli Powder - 1 tsp
Cumin Seeds - 1.5 tsp
Spring Onion - 2 unit
Cooking Oil - 0.5 cup
Salt - 1.5 tsp
Green Chilli - 2 unit</t>
  </si>
  <si>
    <t xml:space="preserve">Comfort in a bowl; serve with raita and achar.</t>
  </si>
  <si>
    <t xml:space="preserve">3 hr slow cook</t>
  </si>
  <si>
    <t xml:space="preserve">Mustard Greens Saag - 3 bunch
Spinach - 2 bunch
Green Chilli - 4 unit
Maize Flour Makai - 4 tbsp
Butter - 4 tbsp
Ginger - 2 inch
Cooking Oil - 0.25 cup
Salt - 2 tsp
Red Chilli Powder - 1 tsp
Ginger Garlic Paste - 1 tbsp</t>
  </si>
  <si>
    <t xml:space="preserve">Slow-cook 2-3 hrs; serve with makai ki roti &amp; white butter.</t>
  </si>
  <si>
    <t xml:space="preserve">ENGINE - one row per recipe ingredient. Do not edit.</t>
  </si>
  <si>
    <t xml:space="preserve">Ingredient</t>
  </si>
  <si>
    <t xml:space="preserve">Qty(base)</t>
  </si>
  <si>
    <t xml:space="preserve">Unit</t>
  </si>
  <si>
    <t xml:space="preserve">Serves</t>
  </si>
  <si>
    <t xml:space="preserve">Per_Person</t>
  </si>
  <si>
    <t xml:space="preserve">Persons_Cooked</t>
  </si>
  <si>
    <t xml:space="preserve">Qty_Used</t>
  </si>
  <si>
    <t xml:space="preserve">Need_Now</t>
  </si>
  <si>
    <t xml:space="preserve">Pantry_Left</t>
  </si>
  <si>
    <t xml:space="preserve">Have(1/0)</t>
  </si>
  <si>
    <t xml:space="preserve">Shortfall</t>
  </si>
  <si>
    <t xml:space="preserve">Chicken</t>
  </si>
  <si>
    <t xml:space="preserve">kg</t>
  </si>
  <si>
    <t xml:space="preserve">Basmati_Rice</t>
  </si>
  <si>
    <t xml:space="preserve">Onion</t>
  </si>
  <si>
    <t xml:space="preserve">unit</t>
  </si>
  <si>
    <t xml:space="preserve">Tomato</t>
  </si>
  <si>
    <t xml:space="preserve">Yogurt</t>
  </si>
  <si>
    <t xml:space="preserve">cup</t>
  </si>
  <si>
    <t xml:space="preserve">Ginger_Garlic_Paste</t>
  </si>
  <si>
    <t xml:space="preserve">tbsp</t>
  </si>
  <si>
    <t xml:space="preserve">Biryani_Masala</t>
  </si>
  <si>
    <t xml:space="preserve">Cooking_Oil</t>
  </si>
  <si>
    <t xml:space="preserve">Mint</t>
  </si>
  <si>
    <t xml:space="preserve">bunch</t>
  </si>
  <si>
    <t xml:space="preserve">Fresh_Coriander</t>
  </si>
  <si>
    <t xml:space="preserve">Green_Chilli</t>
  </si>
  <si>
    <t xml:space="preserve">Lemon</t>
  </si>
  <si>
    <t xml:space="preserve">Salt</t>
  </si>
  <si>
    <t xml:space="preserve">tsp</t>
  </si>
  <si>
    <t xml:space="preserve">Fried_Onion</t>
  </si>
  <si>
    <t xml:space="preserve">Kewra_Water</t>
  </si>
  <si>
    <t xml:space="preserve">Whole_Spices_Mix</t>
  </si>
  <si>
    <t xml:space="preserve">Cumin_Seeds</t>
  </si>
  <si>
    <t xml:space="preserve">Coriander_Seeds</t>
  </si>
  <si>
    <t xml:space="preserve">Fennel_Seeds</t>
  </si>
  <si>
    <t xml:space="preserve">Red_Kidney_Beans</t>
  </si>
  <si>
    <t xml:space="preserve">g</t>
  </si>
  <si>
    <t xml:space="preserve">Red_Chilli_Powder</t>
  </si>
  <si>
    <t xml:space="preserve">Turmeric_Powder</t>
  </si>
  <si>
    <t xml:space="preserve">Coriander_Powder</t>
  </si>
  <si>
    <t xml:space="preserve">Garam_Masala_Powder</t>
  </si>
  <si>
    <t xml:space="preserve">Ginger</t>
  </si>
  <si>
    <t xml:space="preserve">inch</t>
  </si>
  <si>
    <t xml:space="preserve">Black_Pepper_Powder</t>
  </si>
  <si>
    <t xml:space="preserve">Butter</t>
  </si>
  <si>
    <t xml:space="preserve">Ghee</t>
  </si>
  <si>
    <t xml:space="preserve">Chana_Daal</t>
  </si>
  <si>
    <t xml:space="preserve">Curry_Leaves</t>
  </si>
  <si>
    <t xml:space="preserve">sprig</t>
  </si>
  <si>
    <t xml:space="preserve">Mash_Daal</t>
  </si>
  <si>
    <t xml:space="preserve">Masoor_Daal</t>
  </si>
  <si>
    <t xml:space="preserve">Beef_Boneless</t>
  </si>
  <si>
    <t xml:space="preserve">Potato</t>
  </si>
  <si>
    <t xml:space="preserve">Kashmiri_Red_Chilli_Powder</t>
  </si>
  <si>
    <t xml:space="preserve">Beef_Mince</t>
  </si>
  <si>
    <t xml:space="preserve">Eggs</t>
  </si>
  <si>
    <t xml:space="preserve">Cornflour</t>
  </si>
  <si>
    <t xml:space="preserve">Ketchup</t>
  </si>
  <si>
    <t xml:space="preserve">Chilli_Garlic_Sauce</t>
  </si>
  <si>
    <t xml:space="preserve">Soy_Sauce</t>
  </si>
  <si>
    <t xml:space="preserve">Vinegar</t>
  </si>
  <si>
    <t xml:space="preserve">Sugar</t>
  </si>
  <si>
    <t xml:space="preserve">Capsicum</t>
  </si>
  <si>
    <t xml:space="preserve">Spring_Onion</t>
  </si>
  <si>
    <t xml:space="preserve">Carrot</t>
  </si>
  <si>
    <t xml:space="preserve">Cabbage</t>
  </si>
  <si>
    <t xml:space="preserve">Pasta</t>
  </si>
  <si>
    <t xml:space="preserve">Macaroni</t>
  </si>
  <si>
    <t xml:space="preserve">Okra_Bhindi</t>
  </si>
  <si>
    <t xml:space="preserve">Cauliflower_Gobi</t>
  </si>
  <si>
    <t xml:space="preserve">Bitter_Gourd_Karela</t>
  </si>
  <si>
    <t xml:space="preserve">Dried_Fenugreek_Leaves</t>
  </si>
  <si>
    <t xml:space="preserve">Chicken_Stock_Cube</t>
  </si>
  <si>
    <t xml:space="preserve">Beef_Shank_with_Bones</t>
  </si>
  <si>
    <t xml:space="preserve">Nihari_Masala</t>
  </si>
  <si>
    <t xml:space="preserve">Wheat_Flour_Atta</t>
  </si>
  <si>
    <t xml:space="preserve">Gram_Flour_Besan</t>
  </si>
  <si>
    <t xml:space="preserve">Moong_Daal</t>
  </si>
  <si>
    <t xml:space="preserve">Mustard_Greens_Saag</t>
  </si>
  <si>
    <t xml:space="preserve">Spinach</t>
  </si>
  <si>
    <t xml:space="preserve">Maize_Flour_Makai</t>
  </si>
  <si>
    <t xml:space="preserve">Pantry &amp; Inventory</t>
  </si>
  <si>
    <t xml:space="preserve">Yellow cells = yours to edit. Log cooking on Home - quantities deduct automatically. Photo entry: send a fridge/grocery photo to Claude, it reads the items, you type them once here.</t>
  </si>
  <si>
    <t xml:space="preserve">Dish check:</t>
  </si>
  <si>
    <t xml:space="preserve">Missing:</t>
  </si>
  <si>
    <t xml:space="preserve">Qty on Hand</t>
  </si>
  <si>
    <t xml:space="preserve">Min Threshold</t>
  </si>
  <si>
    <t xml:space="preserve">Last Updated</t>
  </si>
  <si>
    <t xml:space="preserve">Entry Method</t>
  </si>
  <si>
    <t xml:space="preserve">Photo Notes</t>
  </si>
  <si>
    <t xml:space="preserve">Used (from Cook Log)</t>
  </si>
  <si>
    <t xml:space="preserve">Qty Left (auto)</t>
  </si>
  <si>
    <t xml:space="preserve">Status</t>
  </si>
  <si>
    <t xml:space="preserve">Typed</t>
  </si>
  <si>
    <t xml:space="preserve">Shopping List</t>
  </si>
  <si>
    <t xml:space="preserve">Aggregated across all 20 recipes by aisle. BUY lights up when pantry drops below minimum. Tick the box as you shop.</t>
  </si>
  <si>
    <t xml:space="preserve">Buy this week:</t>
  </si>
  <si>
    <t xml:space="preserve">Shop for a dish:</t>
  </si>
  <si>
    <t xml:space="preserve">Got it?</t>
  </si>
  <si>
    <t xml:space="preserve">Total Needed (all recipes)</t>
  </si>
  <si>
    <t xml:space="preserve">Aisle</t>
  </si>
  <si>
    <t xml:space="preserve">In Pantry Now</t>
  </si>
  <si>
    <t xml:space="preserve">Action</t>
  </si>
  <si>
    <t xml:space="preserve">Where to buy (Islamabad)</t>
  </si>
  <si>
    <t xml:space="preserve">☐</t>
  </si>
  <si>
    <t xml:space="preserve">Produce</t>
  </si>
  <si>
    <t xml:space="preserve">Sabzi Mandi I-11 (bulk) / Save Mart / Metro online (3-hr)</t>
  </si>
  <si>
    <t xml:space="preserve">Meat</t>
  </si>
  <si>
    <t xml:space="preserve">Metro Cash &amp; Carry / Al-Fatah / local butcher (F-10, I-8 Markaz)</t>
  </si>
  <si>
    <t xml:space="preserve">Dairy</t>
  </si>
  <si>
    <t xml:space="preserve">Any supermarket - Al-Fatah / Save Mart / Carrefour</t>
  </si>
  <si>
    <t xml:space="preserve">Spices/Masala</t>
  </si>
  <si>
    <t xml:space="preserve">Al-Fatah / D. Watson / Metro (Shan &amp; National masalas)</t>
  </si>
  <si>
    <t xml:space="preserve">Pantry/Dry Goods</t>
  </si>
  <si>
    <t xml:space="preserve">Metro / Carrefour (bulk) / alfatah.pk online</t>
  </si>
  <si>
    <t xml:space="preserve">Canned/Legumes</t>
  </si>
  <si>
    <t xml:space="preserve">Metro / Save Mart / local kiryana store</t>
  </si>
  <si>
    <t xml:space="preserve">What Can I Cook Tonight?</t>
  </si>
  <si>
    <t xml:space="preserve">Checklist syncs live from your Pantry. Rankings account for how many people you're feeding (set on Home). Green = dinner is ready.</t>
  </si>
  <si>
    <t xml:space="preserve">Have it?</t>
  </si>
  <si>
    <t xml:space="preserve">You're Missing</t>
  </si>
  <si>
    <t xml:space="preserve">rid</t>
  </si>
  <si>
    <t xml:space="preserve">match</t>
  </si>
  <si>
    <t xml:space="preserve">adj</t>
  </si>
  <si>
    <t xml:space="preserve">Recipe Card</t>
  </si>
  <si>
    <t xml:space="preserve">Pick a dish:</t>
  </si>
  <si>
    <t xml:space="preserve">Source serves:</t>
  </si>
  <si>
    <t xml:space="preserve">You're cooking for:</t>
  </si>
  <si>
    <t xml:space="preserve">Time:</t>
  </si>
  <si>
    <t xml:space="preserve">Notes:</t>
  </si>
  <si>
    <t xml:space="preserve">You Need</t>
  </si>
  <si>
    <t xml:space="preserve">In Pantry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</si>
</sst>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yy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2185B"/>
      <name val="Arial"/>
      <family val="0"/>
      <charset val="1"/>
    </font>
    <font>
      <i val="true"/>
      <sz val="11"/>
      <color rgb="FF7B1FA2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C2185B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3"/>
      <color rgb="FFC2185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57575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2185B"/>
      <name val="Arial"/>
      <family val="0"/>
      <charset val="1"/>
    </font>
    <font>
      <b val="true"/>
      <sz val="16"/>
      <color rgb="FFC2185B"/>
      <name val="Arial"/>
      <family val="0"/>
      <charset val="1"/>
    </font>
    <font>
      <i val="true"/>
      <sz val="10"/>
      <color rgb="FF7B1FA2"/>
      <name val="Arial"/>
      <family val="0"/>
      <charset val="1"/>
    </font>
    <font>
      <b val="true"/>
      <sz val="11"/>
      <color rgb="FFC2185B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57575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9"/>
      <color rgb="FFB71C1C"/>
      <name val="Arial"/>
      <family val="0"/>
      <charset val="1"/>
    </font>
    <font>
      <b val="true"/>
      <sz val="11"/>
      <color rgb="FFB71C1C"/>
      <name val="Arial"/>
      <family val="0"/>
      <charset val="1"/>
    </font>
    <font>
      <b val="true"/>
      <sz val="12"/>
      <color rgb="FFB71C1C"/>
      <name val="Arial"/>
      <family val="0"/>
      <charset val="1"/>
    </font>
    <font>
      <sz val="9"/>
      <color rgb="FF1B5E20"/>
      <name val="Arial"/>
      <family val="0"/>
      <charset val="1"/>
    </font>
    <font>
      <sz val="12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b val="true"/>
      <sz val="12"/>
      <color rgb="FFC2185B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CE4EC"/>
        <bgColor rgb="FFFFEBEE"/>
      </patternFill>
    </fill>
    <fill>
      <patternFill patternType="solid">
        <fgColor rgb="FFFFF9C4"/>
        <bgColor rgb="FFFFF8E1"/>
      </patternFill>
    </fill>
    <fill>
      <patternFill patternType="solid">
        <fgColor rgb="FFF5F5F5"/>
        <bgColor rgb="FFE8F5E9"/>
      </patternFill>
    </fill>
    <fill>
      <patternFill patternType="solid">
        <fgColor rgb="FFC2185B"/>
        <bgColor rgb="FFB71C1C"/>
      </patternFill>
    </fill>
    <fill>
      <patternFill patternType="solid">
        <fgColor rgb="FFC8E6C9"/>
        <bgColor rgb="FFE0E0E0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CE4EC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CE4EC"/>
      </patternFill>
    </fill>
    <fill>
      <patternFill patternType="solid">
        <fgColor rgb="FFFFFDE7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B71C1C"/>
      </font>
      <fill>
        <patternFill>
          <bgColor rgb="FFFFCDD2"/>
        </patternFill>
      </fill>
    </dxf>
    <dxf>
      <font>
        <b val="1"/>
        <color rgb="FFB71C1C"/>
      </font>
    </dxf>
    <dxf>
      <font>
        <color rgb="FF1B5E20"/>
      </font>
    </dxf>
    <dxf>
      <font>
        <strike val="1"/>
        <color rgb="FF9E9E9E"/>
      </font>
    </dxf>
    <dxf>
      <fill>
        <patternFill>
          <bgColor rgb="FFE8F5E9"/>
        </patternFill>
      </fill>
    </dxf>
    <dxf>
      <font>
        <b val="1"/>
        <color rgb="FF1B5E20"/>
      </font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F3E5F5"/>
      <rgbColor rgb="FF757575"/>
      <rgbColor rgb="FF9999FF"/>
      <rgbColor rgb="FFC2185B"/>
      <rgbColor rgb="FFFFF9C4"/>
      <rgbColor rgb="FFE3F2FD"/>
      <rgbColor rgb="FF660066"/>
      <rgbColor rgb="FFF06292"/>
      <rgbColor rgb="FF0563C1"/>
      <rgbColor rgb="FFE0E0E0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FCE4EC"/>
      <rgbColor rgb="FFFFEBEE"/>
      <rgbColor rgb="FFF5F5F5"/>
      <rgbColor rgb="FFFFCDD2"/>
      <rgbColor rgb="FF3366FF"/>
      <rgbColor rgb="FF33CCCC"/>
      <rgbColor rgb="FF99CC00"/>
      <rgbColor rgb="FFFFCC00"/>
      <rgbColor rgb="FFFF9900"/>
      <rgbColor rgb="FFFF7043"/>
      <rgbColor rgb="FF666699"/>
      <rgbColor rgb="FF9E9E9E"/>
      <rgbColor rgb="FF003366"/>
      <rgbColor rgb="FF43A047"/>
      <rgbColor rgb="FF003300"/>
      <rgbColor rgb="FF333300"/>
      <rgbColor rgb="FFB71C1C"/>
      <rgbColor rgb="FFEC407A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40VJanswaAQ" TargetMode="External"/><Relationship Id="rId2" Type="http://schemas.openxmlformats.org/officeDocument/2006/relationships/hyperlink" Target="https://foodfusion.com/recipe/extreme-chicken-biryani/" TargetMode="External"/><Relationship Id="rId3" Type="http://schemas.openxmlformats.org/officeDocument/2006/relationships/hyperlink" Target="https://www.youtube.com/watch?v=QaZWOGs82Nw" TargetMode="External"/><Relationship Id="rId4" Type="http://schemas.openxmlformats.org/officeDocument/2006/relationships/hyperlink" Target="https://foodfusion.com/recipe/chicken-yakhni-pulao/" TargetMode="External"/><Relationship Id="rId5" Type="http://schemas.openxmlformats.org/officeDocument/2006/relationships/hyperlink" Target="https://www.youtube.com/watch?v=mFfYhYCzyVg" TargetMode="External"/><Relationship Id="rId6" Type="http://schemas.openxmlformats.org/officeDocument/2006/relationships/hyperlink" Target="https://foodfusion.com/recipe/lal-lobia-masala/" TargetMode="External"/><Relationship Id="rId7" Type="http://schemas.openxmlformats.org/officeDocument/2006/relationships/hyperlink" Target="https://www.youtube.com/watch?v=T3pQmbC1GW4" TargetMode="External"/><Relationship Id="rId8" Type="http://schemas.openxmlformats.org/officeDocument/2006/relationships/hyperlink" Target="https://foodfusion.com/recipe/fire-chicken-karahi/" TargetMode="External"/><Relationship Id="rId9" Type="http://schemas.openxmlformats.org/officeDocument/2006/relationships/hyperlink" Target="https://www.youtube.com/watch?v=9jOH3TEB-NI" TargetMode="External"/><Relationship Id="rId10" Type="http://schemas.openxmlformats.org/officeDocument/2006/relationships/hyperlink" Target="https://www.foodfusion.com/recipe/chicken-korma/" TargetMode="External"/><Relationship Id="rId11" Type="http://schemas.openxmlformats.org/officeDocument/2006/relationships/hyperlink" Target="https://www.youtube.com/watch?v=72Sy9j7DLVk" TargetMode="External"/><Relationship Id="rId12" Type="http://schemas.openxmlformats.org/officeDocument/2006/relationships/hyperlink" Target="https://www.foodfusion.com/recipe/masala-chana-daal/" TargetMode="External"/><Relationship Id="rId13" Type="http://schemas.openxmlformats.org/officeDocument/2006/relationships/hyperlink" Target="https://www.youtube.com/watch?v=iyO-3eD_fs8" TargetMode="External"/><Relationship Id="rId14" Type="http://schemas.openxmlformats.org/officeDocument/2006/relationships/hyperlink" Target="https://www.foodfusion.com/recipe/mash-daal-with-tadka/" TargetMode="External"/><Relationship Id="rId15" Type="http://schemas.openxmlformats.org/officeDocument/2006/relationships/hyperlink" Target="https://www.youtube.com/watch?v=s1rA4kd1Wfg" TargetMode="External"/><Relationship Id="rId16" Type="http://schemas.openxmlformats.org/officeDocument/2006/relationships/hyperlink" Target="https://www.foodfusion.com/recipe/malka-masoor-daal-with-quick-achaar/" TargetMode="External"/><Relationship Id="rId17" Type="http://schemas.openxmlformats.org/officeDocument/2006/relationships/hyperlink" Target="https://www.youtube.com/watch?v=cbzmggwKZbw" TargetMode="External"/><Relationship Id="rId18" Type="http://schemas.openxmlformats.org/officeDocument/2006/relationships/hyperlink" Target="https://www.foodfusion.com/recipe/aloo-ghosht-delhi-style-recipe/" TargetMode="External"/><Relationship Id="rId19" Type="http://schemas.openxmlformats.org/officeDocument/2006/relationships/hyperlink" Target="https://www.youtube.com/watch?v=vhXMVKd1OGI" TargetMode="External"/><Relationship Id="rId20" Type="http://schemas.openxmlformats.org/officeDocument/2006/relationships/hyperlink" Target="https://www.foodfusion.com/recipe/shami-kabab-recipe/" TargetMode="External"/><Relationship Id="rId21" Type="http://schemas.openxmlformats.org/officeDocument/2006/relationships/hyperlink" Target="https://www.youtube.com/watch?v=WM-i9wGT4zk" TargetMode="External"/><Relationship Id="rId22" Type="http://schemas.openxmlformats.org/officeDocument/2006/relationships/hyperlink" Target="https://www.foodfusion.com/recipe/chicken-manchurian/" TargetMode="External"/><Relationship Id="rId23" Type="http://schemas.openxmlformats.org/officeDocument/2006/relationships/hyperlink" Target="https://www.youtube.com/watch?v=P2tIt4bZNmI" TargetMode="External"/><Relationship Id="rId24" Type="http://schemas.openxmlformats.org/officeDocument/2006/relationships/hyperlink" Target="https://www.foodfusion.com/recipe/chinese-fried-rice/" TargetMode="External"/><Relationship Id="rId25" Type="http://schemas.openxmlformats.org/officeDocument/2006/relationships/hyperlink" Target="https://www.youtube.com/watch?v=a6nYTLyi6sU" TargetMode="External"/><Relationship Id="rId26" Type="http://schemas.openxmlformats.org/officeDocument/2006/relationships/hyperlink" Target="https://foodfusion.com/recipe/one-pot-spicy-pasta/" TargetMode="External"/><Relationship Id="rId27" Type="http://schemas.openxmlformats.org/officeDocument/2006/relationships/hyperlink" Target="https://www.youtube.com/watch?v=1epkIJdJCds" TargetMode="External"/><Relationship Id="rId28" Type="http://schemas.openxmlformats.org/officeDocument/2006/relationships/hyperlink" Target="https://www.foodfusion.com/recipe/chicken-korma-masala/" TargetMode="External"/><Relationship Id="rId29" Type="http://schemas.openxmlformats.org/officeDocument/2006/relationships/hyperlink" Target="https://www.youtube.com/watch?v=NZwQExS8u9k" TargetMode="External"/><Relationship Id="rId30" Type="http://schemas.openxmlformats.org/officeDocument/2006/relationships/hyperlink" Target="https://foodfusion.com/recipe/masala-aloo-bhindi/" TargetMode="External"/><Relationship Id="rId31" Type="http://schemas.openxmlformats.org/officeDocument/2006/relationships/hyperlink" Target="https://www.youtube.com/watch?v=L7LXJ7FiRPA" TargetMode="External"/><Relationship Id="rId32" Type="http://schemas.openxmlformats.org/officeDocument/2006/relationships/hyperlink" Target="https://foodfusion.com/recipe/dhaba-style-mix-vegetable/" TargetMode="External"/><Relationship Id="rId33" Type="http://schemas.openxmlformats.org/officeDocument/2006/relationships/hyperlink" Target="https://www.youtube.com/watch?v=C2p7idVXhE8" TargetMode="External"/><Relationship Id="rId34" Type="http://schemas.openxmlformats.org/officeDocument/2006/relationships/hyperlink" Target="https://www.foodfusion.com/recipe/qeema-karaley/" TargetMode="External"/><Relationship Id="rId35" Type="http://schemas.openxmlformats.org/officeDocument/2006/relationships/hyperlink" Target="https://www.youtube.com/watch?v=cwps_0u-vPQ" TargetMode="External"/><Relationship Id="rId36" Type="http://schemas.openxmlformats.org/officeDocument/2006/relationships/hyperlink" Target="https://www.foodfusion.com/recipe/masala-aloo-recipe/" TargetMode="External"/><Relationship Id="rId37" Type="http://schemas.openxmlformats.org/officeDocument/2006/relationships/hyperlink" Target="https://www.youtube.com/shorts/qVQCbXiU7_A" TargetMode="External"/><Relationship Id="rId38" Type="http://schemas.openxmlformats.org/officeDocument/2006/relationships/hyperlink" Target="https://foodfusion.com/recipe/dhaba-style-aloo-qeema/" TargetMode="External"/><Relationship Id="rId39" Type="http://schemas.openxmlformats.org/officeDocument/2006/relationships/hyperlink" Target="https://www.youtube.com/watch?v=mZOXDAvMCM4" TargetMode="External"/><Relationship Id="rId40" Type="http://schemas.openxmlformats.org/officeDocument/2006/relationships/hyperlink" Target="https://www.foodfusion.com/recipe/perfect-beef-nihari-recipe/" TargetMode="External"/><Relationship Id="rId41" Type="http://schemas.openxmlformats.org/officeDocument/2006/relationships/hyperlink" Target="https://www.youtube.com/watch?v=H71MWbyhO0E" TargetMode="External"/><Relationship Id="rId42" Type="http://schemas.openxmlformats.org/officeDocument/2006/relationships/hyperlink" Target="https://www.foodfusion.com/recipe/spicy-fried-khichdi-recipe/" TargetMode="External"/><Relationship Id="rId43" Type="http://schemas.openxmlformats.org/officeDocument/2006/relationships/hyperlink" Target="https://www.youtube.com/watch?v=XH2_pWrguvI" TargetMode="External"/><Relationship Id="rId44" Type="http://schemas.openxmlformats.org/officeDocument/2006/relationships/hyperlink" Target="https://www.foodfusion.com/recipe/sarson-ka-saag-recip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07A"/>
    <pageSetUpPr fitToPage="false"/>
  </sheetPr>
  <dimension ref="B2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8" min="7" style="0" width="10"/>
  </cols>
  <sheetData>
    <row r="2" customFormat="false" ht="26.8" hidden="false" customHeight="false" outlineLevel="0" collapsed="false">
      <c r="B2" s="1" t="s">
        <v>0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B3" s="3" t="s">
        <v>1</v>
      </c>
      <c r="C3" s="2"/>
      <c r="D3" s="2"/>
      <c r="E3" s="2"/>
      <c r="F3" s="2"/>
      <c r="G3" s="2"/>
      <c r="H3" s="2"/>
      <c r="I3" s="2"/>
    </row>
    <row r="5" customFormat="false" ht="17.35" hidden="false" customHeight="false" outlineLevel="0" collapsed="false">
      <c r="B5" s="4" t="s">
        <v>2</v>
      </c>
      <c r="D5" s="5" t="n">
        <v>4</v>
      </c>
      <c r="E5" s="6" t="s">
        <v>3</v>
      </c>
    </row>
    <row r="7" customFormat="false" ht="16.15" hidden="false" customHeight="false" outlineLevel="0" collapsed="false">
      <c r="B7" s="7" t="s">
        <v>4</v>
      </c>
    </row>
    <row r="8" customFormat="false" ht="15" hidden="false" customHeight="false" outlineLevel="0" collapsed="false">
      <c r="B8" s="8" t="s">
        <v>5</v>
      </c>
      <c r="C8" s="8"/>
      <c r="D8" s="8"/>
      <c r="E8" s="8"/>
      <c r="F8" s="9" t="n">
        <f aca="false">COUNTIF('What Can I Cook'!$M$4:$M$25,1)</f>
        <v>2</v>
      </c>
      <c r="G8" s="9"/>
    </row>
    <row r="9" customFormat="false" ht="15" hidden="false" customHeight="false" outlineLevel="0" collapsed="false">
      <c r="B9" s="8" t="s">
        <v>6</v>
      </c>
      <c r="C9" s="8"/>
      <c r="D9" s="8"/>
      <c r="E9" s="8"/>
      <c r="F9" s="9" t="n">
        <f aca="false">'Shopping List'!$C$3</f>
        <v>20</v>
      </c>
      <c r="G9" s="9"/>
    </row>
    <row r="10" customFormat="false" ht="15" hidden="false" customHeight="false" outlineLevel="0" collapsed="false">
      <c r="B10" s="8" t="s">
        <v>7</v>
      </c>
      <c r="C10" s="8"/>
      <c r="D10" s="8"/>
      <c r="E10" s="8"/>
      <c r="F10" s="9" t="n">
        <f aca="false">COUNTIF($B$28:$B$39,"?*")</f>
        <v>0</v>
      </c>
      <c r="G10" s="9"/>
    </row>
    <row r="11" customFormat="false" ht="15" hidden="false" customHeight="false" outlineLevel="0" collapsed="false">
      <c r="B11" s="8" t="s">
        <v>8</v>
      </c>
      <c r="C11" s="8"/>
      <c r="D11" s="8"/>
      <c r="E11" s="8"/>
      <c r="F11" s="9" t="str">
        <f aca="false">'What Can I Cook'!$F$4</f>
        <v>Aalu (Masala Aloo)</v>
      </c>
      <c r="G11" s="9"/>
    </row>
    <row r="13" customFormat="false" ht="16.15" hidden="false" customHeight="false" outlineLevel="0" collapsed="false">
      <c r="B13" s="7" t="s">
        <v>9</v>
      </c>
    </row>
    <row r="14" customFormat="false" ht="15" hidden="false" customHeight="false" outlineLevel="0" collapsed="false">
      <c r="B14" s="10" t="s">
        <v>10</v>
      </c>
      <c r="C14" s="10" t="s">
        <v>11</v>
      </c>
      <c r="D14" s="10" t="s">
        <v>12</v>
      </c>
      <c r="E14" s="10"/>
      <c r="F14" s="10" t="s">
        <v>13</v>
      </c>
      <c r="G14" s="10" t="s">
        <v>14</v>
      </c>
      <c r="H14" s="10" t="s">
        <v>15</v>
      </c>
    </row>
    <row r="15" customFormat="false" ht="15" hidden="false" customHeight="false" outlineLevel="0" collapsed="false">
      <c r="B15" s="11" t="n">
        <v>1</v>
      </c>
      <c r="C15" s="12" t="str">
        <f aca="false">INDEX('What Can I Cook'!$L$4:$L$25,MATCH(LARGE('What Can I Cook'!$N$4:$N$25,$B15),'What Can I Cook'!$N$4:$N$25,0))</f>
        <v>R016</v>
      </c>
      <c r="D15" s="13" t="str">
        <f aca="false">VLOOKUP($C15,Lists!$A$2:$B$23,2,0)</f>
        <v>Aalu (Masala Aloo)</v>
      </c>
      <c r="E15" s="13"/>
      <c r="F15" s="14" t="n">
        <f aca="false">INDEX('What Can I Cook'!$M$4:$M$25,MATCH($C15,'What Can I Cook'!$L$4:$L$25,0))</f>
        <v>1</v>
      </c>
      <c r="G15" s="15" t="str">
        <f aca="false">HYPERLINK(INDEX(Lists!$E$2:$E$23,MATCH($C15,Lists!$A$2:$A$23,0)),"&gt; Watch")</f>
        <v>&gt; Watch</v>
      </c>
      <c r="H15" s="15" t="str">
        <f aca="false">HYPERLINK(INDEX(Lists!$D$2:$D$23,MATCH($C15,Lists!$A$2:$A$23,0)),"Read")</f>
        <v>Read</v>
      </c>
    </row>
    <row r="16" customFormat="false" ht="15" hidden="false" customHeight="false" outlineLevel="0" collapsed="false">
      <c r="B16" s="11" t="n">
        <v>2</v>
      </c>
      <c r="C16" s="12" t="str">
        <f aca="false">INDEX('What Can I Cook'!$L$4:$L$25,MATCH(LARGE('What Can I Cook'!$N$4:$N$25,$B16),'What Can I Cook'!$N$4:$N$25,0))</f>
        <v>R006a</v>
      </c>
      <c r="D16" s="13" t="str">
        <f aca="false">VLOOKUP($C16,Lists!$A$2:$B$23,2,0)</f>
        <v>Daal Chana (Masala)</v>
      </c>
      <c r="E16" s="13"/>
      <c r="F16" s="14" t="n">
        <f aca="false">INDEX('What Can I Cook'!$M$4:$M$25,MATCH($C16,'What Can I Cook'!$L$4:$L$25,0))</f>
        <v>1</v>
      </c>
      <c r="G16" s="15" t="str">
        <f aca="false">HYPERLINK(INDEX(Lists!$E$2:$E$23,MATCH($C16,Lists!$A$2:$A$23,0)),"&gt; Watch")</f>
        <v>&gt; Watch</v>
      </c>
      <c r="H16" s="15" t="str">
        <f aca="false">HYPERLINK(INDEX(Lists!$D$2:$D$23,MATCH($C16,Lists!$A$2:$A$23,0)),"Read")</f>
        <v>Read</v>
      </c>
    </row>
    <row r="17" customFormat="false" ht="15" hidden="false" customHeight="false" outlineLevel="0" collapsed="false">
      <c r="B17" s="11" t="n">
        <v>3</v>
      </c>
      <c r="C17" s="12" t="str">
        <f aca="false">INDEX('What Can I Cook'!$L$4:$L$25,MATCH(LARGE('What Can I Cook'!$N$4:$N$25,$B17),'What Can I Cook'!$N$4:$N$25,0))</f>
        <v>R019</v>
      </c>
      <c r="D17" s="13" t="str">
        <f aca="false">VLOOKUP($C17,Lists!$A$2:$B$23,2,0)</f>
        <v>Khichri (Spicy Fried Khichdi)</v>
      </c>
      <c r="E17" s="13"/>
      <c r="F17" s="14" t="n">
        <f aca="false">INDEX('What Can I Cook'!$M$4:$M$25,MATCH($C17,'What Can I Cook'!$L$4:$L$25,0))</f>
        <v>0.916666666666667</v>
      </c>
      <c r="G17" s="15" t="str">
        <f aca="false">HYPERLINK(INDEX(Lists!$E$2:$E$23,MATCH($C17,Lists!$A$2:$A$23,0)),"&gt; Watch")</f>
        <v>&gt; Watch</v>
      </c>
      <c r="H17" s="15" t="str">
        <f aca="false">HYPERLINK(INDEX(Lists!$D$2:$D$23,MATCH($C17,Lists!$A$2:$A$23,0)),"Read")</f>
        <v>Read</v>
      </c>
    </row>
    <row r="18" customFormat="false" ht="15" hidden="false" customHeight="false" outlineLevel="0" collapsed="false">
      <c r="B18" s="16" t="n">
        <v>4</v>
      </c>
      <c r="C18" s="17" t="str">
        <f aca="false">INDEX('What Can I Cook'!$L$4:$L$25,MATCH(LARGE('What Can I Cook'!$N$4:$N$25,$B18),'What Can I Cook'!$N$4:$N$25,0))</f>
        <v>R013</v>
      </c>
      <c r="D18" s="18" t="str">
        <f aca="false">VLOOKUP($C18,Lists!$A$2:$B$23,2,0)</f>
        <v>Bhindi (Masala Aloo Bhindi)</v>
      </c>
      <c r="E18" s="18"/>
      <c r="F18" s="19" t="n">
        <f aca="false">INDEX('What Can I Cook'!$M$4:$M$25,MATCH($C18,'What Can I Cook'!$L$4:$L$25,0))</f>
        <v>0.916666666666667</v>
      </c>
      <c r="G18" s="15" t="str">
        <f aca="false">HYPERLINK(INDEX(Lists!$E$2:$E$23,MATCH($C18,Lists!$A$2:$A$23,0)),"&gt; Watch")</f>
        <v>&gt; Watch</v>
      </c>
      <c r="H18" s="15" t="str">
        <f aca="false">HYPERLINK(INDEX(Lists!$D$2:$D$23,MATCH($C18,Lists!$A$2:$A$23,0)),"Read")</f>
        <v>Read</v>
      </c>
    </row>
    <row r="19" customFormat="false" ht="15" hidden="false" customHeight="false" outlineLevel="0" collapsed="false">
      <c r="B19" s="16" t="n">
        <v>5</v>
      </c>
      <c r="C19" s="17" t="str">
        <f aca="false">INDEX('What Can I Cook'!$L$4:$L$25,MATCH(LARGE('What Can I Cook'!$N$4:$N$25,$B19),'What Can I Cook'!$N$4:$N$25,0))</f>
        <v>R011</v>
      </c>
      <c r="D19" s="18" t="str">
        <f aca="false">VLOOKUP($C19,Lists!$A$2:$B$23,2,0)</f>
        <v>One Pot Spicy Pasta</v>
      </c>
      <c r="E19" s="18"/>
      <c r="F19" s="19" t="n">
        <f aca="false">INDEX('What Can I Cook'!$M$4:$M$25,MATCH($C19,'What Can I Cook'!$L$4:$L$25,0))</f>
        <v>0.916666666666667</v>
      </c>
      <c r="G19" s="15" t="str">
        <f aca="false">HYPERLINK(INDEX(Lists!$E$2:$E$23,MATCH($C19,Lists!$A$2:$A$23,0)),"&gt; Watch")</f>
        <v>&gt; Watch</v>
      </c>
      <c r="H19" s="15" t="str">
        <f aca="false">HYPERLINK(INDEX(Lists!$D$2:$D$23,MATCH($C19,Lists!$A$2:$A$23,0)),"Read")</f>
        <v>Read</v>
      </c>
    </row>
    <row r="20" customFormat="false" ht="15" hidden="false" customHeight="false" outlineLevel="0" collapsed="false">
      <c r="B20" s="16" t="n">
        <v>6</v>
      </c>
      <c r="C20" s="17" t="str">
        <f aca="false">INDEX('What Can I Cook'!$L$4:$L$25,MATCH(LARGE('What Can I Cook'!$N$4:$N$25,$B20),'What Can I Cook'!$N$4:$N$25,0))</f>
        <v>R006c</v>
      </c>
      <c r="D20" s="18" t="str">
        <f aca="false">VLOOKUP($C20,Lists!$A$2:$B$23,2,0)</f>
        <v>Daal Masoor (Malka)</v>
      </c>
      <c r="E20" s="18"/>
      <c r="F20" s="19" t="n">
        <f aca="false">INDEX('What Can I Cook'!$M$4:$M$25,MATCH($C20,'What Can I Cook'!$L$4:$L$25,0))</f>
        <v>0.916666666666667</v>
      </c>
      <c r="G20" s="15" t="str">
        <f aca="false">HYPERLINK(INDEX(Lists!$E$2:$E$23,MATCH($C20,Lists!$A$2:$A$23,0)),"&gt; Watch")</f>
        <v>&gt; Watch</v>
      </c>
      <c r="H20" s="15" t="str">
        <f aca="false">HYPERLINK(INDEX(Lists!$D$2:$D$23,MATCH($C20,Lists!$A$2:$A$23,0)),"Read")</f>
        <v>Read</v>
      </c>
    </row>
    <row r="21" customFormat="false" ht="15" hidden="false" customHeight="false" outlineLevel="0" collapsed="false">
      <c r="B21" s="16" t="n">
        <v>7</v>
      </c>
      <c r="C21" s="17" t="str">
        <f aca="false">INDEX('What Can I Cook'!$L$4:$L$25,MATCH(LARGE('What Can I Cook'!$N$4:$N$25,$B21),'What Can I Cook'!$N$4:$N$25,0))</f>
        <v>R006b</v>
      </c>
      <c r="D21" s="18" t="str">
        <f aca="false">VLOOKUP($C21,Lists!$A$2:$B$23,2,0)</f>
        <v>Daal Mash with Tadka</v>
      </c>
      <c r="E21" s="18"/>
      <c r="F21" s="19" t="n">
        <f aca="false">INDEX('What Can I Cook'!$M$4:$M$25,MATCH($C21,'What Can I Cook'!$L$4:$L$25,0))</f>
        <v>0.916666666666667</v>
      </c>
      <c r="G21" s="15" t="str">
        <f aca="false">HYPERLINK(INDEX(Lists!$E$2:$E$23,MATCH($C21,Lists!$A$2:$A$23,0)),"&gt; Watch")</f>
        <v>&gt; Watch</v>
      </c>
      <c r="H21" s="15" t="str">
        <f aca="false">HYPERLINK(INDEX(Lists!$D$2:$D$23,MATCH($C21,Lists!$A$2:$A$23,0)),"Read")</f>
        <v>Read</v>
      </c>
    </row>
    <row r="22" customFormat="false" ht="15" hidden="false" customHeight="false" outlineLevel="0" collapsed="false">
      <c r="B22" s="16" t="n">
        <v>8</v>
      </c>
      <c r="C22" s="17" t="str">
        <f aca="false">INDEX('What Can I Cook'!$L$4:$L$25,MATCH(LARGE('What Can I Cook'!$N$4:$N$25,$B22),'What Can I Cook'!$N$4:$N$25,0))</f>
        <v>R017</v>
      </c>
      <c r="D22" s="18" t="str">
        <f aca="false">VLOOKUP($C22,Lists!$A$2:$B$23,2,0)</f>
        <v>Qeema (Dhaba Style Aloo Qeema)</v>
      </c>
      <c r="E22" s="18"/>
      <c r="F22" s="19" t="n">
        <f aca="false">INDEX('What Can I Cook'!$M$4:$M$25,MATCH($C22,'What Can I Cook'!$L$4:$L$25,0))</f>
        <v>0.866666666666667</v>
      </c>
      <c r="G22" s="15" t="str">
        <f aca="false">HYPERLINK(INDEX(Lists!$E$2:$E$23,MATCH($C22,Lists!$A$2:$A$23,0)),"&gt; Watch")</f>
        <v>&gt; Watch</v>
      </c>
      <c r="H22" s="15" t="str">
        <f aca="false">HYPERLINK(INDEX(Lists!$D$2:$D$23,MATCH($C22,Lists!$A$2:$A$23,0)),"Read")</f>
        <v>Read</v>
      </c>
    </row>
    <row r="23" customFormat="false" ht="15" hidden="false" customHeight="false" outlineLevel="0" collapsed="false">
      <c r="B23" s="16" t="n">
        <v>9</v>
      </c>
      <c r="C23" s="17" t="str">
        <f aca="false">INDEX('What Can I Cook'!$L$4:$L$25,MATCH(LARGE('What Can I Cook'!$N$4:$N$25,$B23),'What Can I Cook'!$N$4:$N$25,0))</f>
        <v>R008</v>
      </c>
      <c r="D23" s="18" t="str">
        <f aca="false">VLOOKUP($C23,Lists!$A$2:$B$23,2,0)</f>
        <v>Shami Kabab</v>
      </c>
      <c r="E23" s="18"/>
      <c r="F23" s="19" t="n">
        <f aca="false">INDEX('What Can I Cook'!$M$4:$M$25,MATCH($C23,'What Can I Cook'!$L$4:$L$25,0))</f>
        <v>0.866666666666667</v>
      </c>
      <c r="G23" s="15" t="str">
        <f aca="false">HYPERLINK(INDEX(Lists!$E$2:$E$23,MATCH($C23,Lists!$A$2:$A$23,0)),"&gt; Watch")</f>
        <v>&gt; Watch</v>
      </c>
      <c r="H23" s="15" t="str">
        <f aca="false">HYPERLINK(INDEX(Lists!$D$2:$D$23,MATCH($C23,Lists!$A$2:$A$23,0)),"Read")</f>
        <v>Read</v>
      </c>
    </row>
    <row r="24" customFormat="false" ht="15" hidden="false" customHeight="false" outlineLevel="0" collapsed="false">
      <c r="B24" s="16" t="n">
        <v>10</v>
      </c>
      <c r="C24" s="17" t="str">
        <f aca="false">INDEX('What Can I Cook'!$L$4:$L$25,MATCH(LARGE('What Can I Cook'!$N$4:$N$25,$B24),'What Can I Cook'!$N$4:$N$25,0))</f>
        <v>R014</v>
      </c>
      <c r="D24" s="18" t="str">
        <f aca="false">VLOOKUP($C24,Lists!$A$2:$B$23,2,0)</f>
        <v>Gobi Masala (Dhaba Style)</v>
      </c>
      <c r="E24" s="18"/>
      <c r="F24" s="19" t="n">
        <f aca="false">INDEX('What Can I Cook'!$M$4:$M$25,MATCH($C24,'What Can I Cook'!$L$4:$L$25,0))</f>
        <v>0.857142857142857</v>
      </c>
      <c r="G24" s="15" t="str">
        <f aca="false">HYPERLINK(INDEX(Lists!$E$2:$E$23,MATCH($C24,Lists!$A$2:$A$23,0)),"&gt; Watch")</f>
        <v>&gt; Watch</v>
      </c>
      <c r="H24" s="15" t="str">
        <f aca="false">HYPERLINK(INDEX(Lists!$D$2:$D$23,MATCH($C24,Lists!$A$2:$A$23,0)),"Read")</f>
        <v>Read</v>
      </c>
    </row>
    <row r="26" customFormat="false" ht="16.15" hidden="false" customHeight="false" outlineLevel="0" collapsed="false">
      <c r="B26" s="7" t="s">
        <v>16</v>
      </c>
      <c r="E26" s="6" t="s">
        <v>17</v>
      </c>
    </row>
    <row r="27" customFormat="false" ht="15" hidden="false" customHeight="false" outlineLevel="0" collapsed="false">
      <c r="B27" s="10" t="s">
        <v>12</v>
      </c>
      <c r="C27" s="10" t="s">
        <v>18</v>
      </c>
      <c r="D27" s="10" t="s">
        <v>19</v>
      </c>
      <c r="E27" s="10" t="s">
        <v>20</v>
      </c>
    </row>
    <row r="28" customFormat="false" ht="15" hidden="false" customHeight="false" outlineLevel="0" collapsed="false">
      <c r="B28" s="20"/>
      <c r="C28" s="20"/>
      <c r="D28" s="20"/>
      <c r="E28" s="20"/>
    </row>
    <row r="29" customFormat="false" ht="15" hidden="false" customHeight="false" outlineLevel="0" collapsed="false">
      <c r="B29" s="20"/>
      <c r="C29" s="20"/>
      <c r="D29" s="20"/>
      <c r="E29" s="20"/>
    </row>
    <row r="30" customFormat="false" ht="15" hidden="false" customHeight="false" outlineLevel="0" collapsed="false">
      <c r="B30" s="20"/>
      <c r="C30" s="20"/>
      <c r="D30" s="20"/>
      <c r="E30" s="20"/>
    </row>
    <row r="31" customFormat="false" ht="15" hidden="false" customHeight="false" outlineLevel="0" collapsed="false">
      <c r="B31" s="20"/>
      <c r="C31" s="20"/>
      <c r="D31" s="20"/>
      <c r="E31" s="20"/>
    </row>
    <row r="32" customFormat="false" ht="15" hidden="false" customHeight="false" outlineLevel="0" collapsed="false">
      <c r="B32" s="20"/>
      <c r="C32" s="20"/>
      <c r="D32" s="20"/>
      <c r="E32" s="20"/>
    </row>
    <row r="33" customFormat="false" ht="15" hidden="false" customHeight="false" outlineLevel="0" collapsed="false">
      <c r="B33" s="20"/>
      <c r="C33" s="20"/>
      <c r="D33" s="20"/>
      <c r="E33" s="20"/>
    </row>
    <row r="34" customFormat="false" ht="15" hidden="false" customHeight="false" outlineLevel="0" collapsed="false">
      <c r="B34" s="20"/>
      <c r="C34" s="20"/>
      <c r="D34" s="20"/>
      <c r="E34" s="20"/>
    </row>
    <row r="35" customFormat="false" ht="15" hidden="false" customHeight="false" outlineLevel="0" collapsed="false">
      <c r="B35" s="20"/>
      <c r="C35" s="20"/>
      <c r="D35" s="20"/>
      <c r="E35" s="20"/>
    </row>
    <row r="36" customFormat="false" ht="15" hidden="false" customHeight="false" outlineLevel="0" collapsed="false">
      <c r="B36" s="20"/>
      <c r="C36" s="20"/>
      <c r="D36" s="20"/>
      <c r="E36" s="20"/>
    </row>
    <row r="37" customFormat="false" ht="15" hidden="false" customHeight="false" outlineLevel="0" collapsed="false">
      <c r="B37" s="20"/>
      <c r="C37" s="20"/>
      <c r="D37" s="20"/>
      <c r="E37" s="20"/>
    </row>
    <row r="38" customFormat="false" ht="15" hidden="false" customHeight="false" outlineLevel="0" collapsed="false">
      <c r="B38" s="20"/>
      <c r="C38" s="20"/>
      <c r="D38" s="20"/>
      <c r="E38" s="20"/>
    </row>
    <row r="39" customFormat="false" ht="15" hidden="false" customHeight="false" outlineLevel="0" collapsed="false">
      <c r="B39" s="20"/>
      <c r="C39" s="20"/>
      <c r="D39" s="20"/>
      <c r="E39" s="20"/>
    </row>
    <row r="41" customFormat="false" ht="16.15" hidden="false" customHeight="false" outlineLevel="0" collapsed="false">
      <c r="B41" s="7" t="s">
        <v>21</v>
      </c>
    </row>
    <row r="42" customFormat="false" ht="25.5" hidden="false" customHeight="true" outlineLevel="0" collapsed="false">
      <c r="B42" s="21" t="s">
        <v>22</v>
      </c>
      <c r="C42" s="21"/>
      <c r="D42" s="21"/>
      <c r="E42" s="21"/>
      <c r="F42" s="21"/>
      <c r="G42" s="21"/>
      <c r="H42" s="21"/>
      <c r="I42" s="21"/>
    </row>
    <row r="43" customFormat="false" ht="25.5" hidden="false" customHeight="true" outlineLevel="0" collapsed="false">
      <c r="B43" s="21" t="s">
        <v>23</v>
      </c>
      <c r="C43" s="21"/>
      <c r="D43" s="21"/>
      <c r="E43" s="21"/>
      <c r="F43" s="21"/>
      <c r="G43" s="21"/>
      <c r="H43" s="21"/>
      <c r="I43" s="21"/>
    </row>
    <row r="44" customFormat="false" ht="25.5" hidden="false" customHeight="true" outlineLevel="0" collapsed="false">
      <c r="B44" s="21" t="s">
        <v>24</v>
      </c>
      <c r="C44" s="21"/>
      <c r="D44" s="21"/>
      <c r="E44" s="21"/>
      <c r="F44" s="21"/>
      <c r="G44" s="21"/>
      <c r="H44" s="21"/>
      <c r="I44" s="21"/>
    </row>
    <row r="45" customFormat="false" ht="25.5" hidden="false" customHeight="true" outlineLevel="0" collapsed="false">
      <c r="B45" s="21" t="s">
        <v>25</v>
      </c>
      <c r="C45" s="21"/>
      <c r="D45" s="21"/>
      <c r="E45" s="21"/>
      <c r="F45" s="21"/>
      <c r="G45" s="21"/>
      <c r="H45" s="21"/>
      <c r="I45" s="21"/>
    </row>
    <row r="46" customFormat="false" ht="25.5" hidden="false" customHeight="true" outlineLevel="0" collapsed="false">
      <c r="B46" s="21" t="s">
        <v>26</v>
      </c>
      <c r="C46" s="21"/>
      <c r="D46" s="21"/>
      <c r="E46" s="21"/>
      <c r="F46" s="21"/>
      <c r="G46" s="21"/>
      <c r="H46" s="21"/>
      <c r="I46" s="21"/>
    </row>
    <row r="47" customFormat="false" ht="25.5" hidden="false" customHeight="true" outlineLevel="0" collapsed="false">
      <c r="B47" s="21" t="s">
        <v>27</v>
      </c>
      <c r="C47" s="21"/>
      <c r="D47" s="21"/>
      <c r="E47" s="21"/>
      <c r="F47" s="21"/>
      <c r="G47" s="21"/>
      <c r="H47" s="21"/>
      <c r="I47" s="21"/>
    </row>
    <row r="48" customFormat="false" ht="25.5" hidden="false" customHeight="true" outlineLevel="0" collapsed="false">
      <c r="B48" s="21" t="s">
        <v>28</v>
      </c>
      <c r="C48" s="21"/>
      <c r="D48" s="21"/>
      <c r="E48" s="21"/>
      <c r="F48" s="21"/>
      <c r="G48" s="21"/>
      <c r="H48" s="21"/>
      <c r="I48" s="21"/>
    </row>
    <row r="49" customFormat="false" ht="25.5" hidden="false" customHeight="true" outlineLevel="0" collapsed="false">
      <c r="B49" s="21" t="s">
        <v>29</v>
      </c>
      <c r="C49" s="21"/>
      <c r="D49" s="21"/>
      <c r="E49" s="21"/>
      <c r="F49" s="21"/>
      <c r="G49" s="21"/>
      <c r="H49" s="21"/>
      <c r="I49" s="21"/>
    </row>
    <row r="51" customFormat="false" ht="15" hidden="false" customHeight="false" outlineLevel="0" collapsed="false">
      <c r="B51" s="22" t="s">
        <v>30</v>
      </c>
    </row>
  </sheetData>
  <mergeCells count="26">
    <mergeCell ref="B8:E8"/>
    <mergeCell ref="F8:G8"/>
    <mergeCell ref="B9:E9"/>
    <mergeCell ref="F9:G9"/>
    <mergeCell ref="B10:E10"/>
    <mergeCell ref="F10:G10"/>
    <mergeCell ref="B11:E11"/>
    <mergeCell ref="F11:G1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B42:I42"/>
    <mergeCell ref="B43:I43"/>
    <mergeCell ref="B44:I44"/>
    <mergeCell ref="B45:I45"/>
    <mergeCell ref="B46:I46"/>
    <mergeCell ref="B47:I47"/>
    <mergeCell ref="B48:I48"/>
    <mergeCell ref="B49:I49"/>
  </mergeCells>
  <conditionalFormatting sqref="F15:F24">
    <cfRule type="colorScale" priority="2">
      <colorScale>
        <cfvo type="num" val="0"/>
        <cfvo type="num" val="0.7"/>
        <cfvo type="num" val="1"/>
        <color rgb="FFF8BBD0"/>
        <color rgb="FFFFF59D"/>
        <color rgb="FFA5D6A7"/>
      </colorScale>
    </cfRule>
  </conditionalFormatting>
  <dataValidations count="5">
    <dataValidation allowBlank="false" errorStyle="stop" operator="between" showDropDown="false" showErrorMessage="false" showInputMessage="false" sqref="D5" type="list">
      <formula1>Lists!$F$2:$F$13</formula1>
      <formula2>0</formula2>
    </dataValidation>
    <dataValidation allowBlank="true" errorStyle="stop" operator="between" showDropDown="false" showErrorMessage="false" showInputMessage="false" sqref="B28:B39" type="list">
      <formula1>Lists!$B$2:$B$23</formula1>
      <formula2>0</formula2>
    </dataValidation>
    <dataValidation allowBlank="true" errorStyle="stop" operator="between" showDropDown="false" showErrorMessage="false" showInputMessage="false" sqref="C28:C39" type="list">
      <formula1>Lists!$G$2:$G$11</formula1>
      <formula2>0</formula2>
    </dataValidation>
    <dataValidation allowBlank="true" errorStyle="stop" operator="between" showDropDown="false" showErrorMessage="false" showInputMessage="false" sqref="D28:D39" type="list">
      <formula1>Lists!$H$2:$H$5</formula1>
      <formula2>0</formula2>
    </dataValidation>
    <dataValidation allowBlank="true" errorStyle="stop" operator="between" showDropDown="false" showErrorMessage="false" showInputMessage="false" sqref="E28:E39" type="list">
      <formula1>Lists!$F$2:$F$13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A2" s="0" t="s">
        <v>31</v>
      </c>
      <c r="B2" s="0" t="s">
        <v>32</v>
      </c>
      <c r="C2" s="0" t="n">
        <v>6</v>
      </c>
      <c r="D2" s="0" t="s">
        <v>33</v>
      </c>
      <c r="E2" s="0" t="s">
        <v>34</v>
      </c>
      <c r="F2" s="0" t="n">
        <v>1</v>
      </c>
      <c r="G2" s="0" t="str">
        <f aca="true">TEXT(TODAY()-6,"DD-MMM-YYYY")</f>
        <v>01-Jul-2026</v>
      </c>
      <c r="H2" s="0" t="s">
        <v>35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n">
        <v>5</v>
      </c>
      <c r="D3" s="0" t="s">
        <v>38</v>
      </c>
      <c r="E3" s="0" t="s">
        <v>39</v>
      </c>
      <c r="F3" s="0" t="n">
        <v>2</v>
      </c>
      <c r="G3" s="0" t="str">
        <f aca="true">TEXT(TODAY()-5,"DD-MMM-YYYY")</f>
        <v>02-Jul-2026</v>
      </c>
      <c r="H3" s="0" t="s">
        <v>40</v>
      </c>
    </row>
    <row r="4" customFormat="false" ht="15" hidden="false" customHeight="false" outlineLevel="0" collapsed="false">
      <c r="A4" s="0" t="s">
        <v>41</v>
      </c>
      <c r="B4" s="0" t="s">
        <v>42</v>
      </c>
      <c r="C4" s="0" t="n">
        <v>4</v>
      </c>
      <c r="D4" s="0" t="s">
        <v>43</v>
      </c>
      <c r="E4" s="0" t="s">
        <v>44</v>
      </c>
      <c r="F4" s="0" t="n">
        <v>3</v>
      </c>
      <c r="G4" s="0" t="str">
        <f aca="true">TEXT(TODAY()-4,"DD-MMM-YYYY")</f>
        <v>03-Jul-2026</v>
      </c>
      <c r="H4" s="0" t="s">
        <v>45</v>
      </c>
    </row>
    <row r="5" customFormat="false" ht="15" hidden="false" customHeight="false" outlineLevel="0" collapsed="false">
      <c r="A5" s="0" t="s">
        <v>46</v>
      </c>
      <c r="B5" s="0" t="s">
        <v>47</v>
      </c>
      <c r="C5" s="0" t="n">
        <v>5</v>
      </c>
      <c r="D5" s="0" t="s">
        <v>48</v>
      </c>
      <c r="E5" s="0" t="s">
        <v>49</v>
      </c>
      <c r="F5" s="0" t="n">
        <v>4</v>
      </c>
      <c r="G5" s="0" t="str">
        <f aca="true">TEXT(TODAY()-3,"DD-MMM-YYYY")</f>
        <v>04-Jul-2026</v>
      </c>
      <c r="H5" s="0" t="s">
        <v>50</v>
      </c>
    </row>
    <row r="6" customFormat="false" ht="15" hidden="false" customHeight="false" outlineLevel="0" collapsed="false">
      <c r="A6" s="0" t="s">
        <v>51</v>
      </c>
      <c r="B6" s="0" t="s">
        <v>52</v>
      </c>
      <c r="C6" s="0" t="n">
        <v>6</v>
      </c>
      <c r="D6" s="0" t="s">
        <v>53</v>
      </c>
      <c r="E6" s="0" t="s">
        <v>54</v>
      </c>
      <c r="F6" s="0" t="n">
        <v>5</v>
      </c>
      <c r="G6" s="0" t="str">
        <f aca="true">TEXT(TODAY()-2,"DD-MMM-YYYY")</f>
        <v>05-Jul-2026</v>
      </c>
    </row>
    <row r="7" customFormat="false" ht="15" hidden="false" customHeight="false" outlineLevel="0" collapsed="false">
      <c r="A7" s="0" t="s">
        <v>55</v>
      </c>
      <c r="B7" s="0" t="s">
        <v>56</v>
      </c>
      <c r="C7" s="0" t="n">
        <v>4</v>
      </c>
      <c r="D7" s="0" t="s">
        <v>57</v>
      </c>
      <c r="E7" s="0" t="s">
        <v>58</v>
      </c>
      <c r="F7" s="0" t="n">
        <v>6</v>
      </c>
      <c r="G7" s="0" t="str">
        <f aca="true">TEXT(TODAY()-1,"DD-MMM-YYYY")</f>
        <v>06-Jul-2026</v>
      </c>
    </row>
    <row r="8" customFormat="false" ht="15" hidden="false" customHeight="false" outlineLevel="0" collapsed="false">
      <c r="A8" s="0" t="s">
        <v>59</v>
      </c>
      <c r="B8" s="0" t="s">
        <v>60</v>
      </c>
      <c r="C8" s="0" t="n">
        <v>4</v>
      </c>
      <c r="D8" s="0" t="s">
        <v>61</v>
      </c>
      <c r="E8" s="0" t="s">
        <v>62</v>
      </c>
      <c r="F8" s="0" t="n">
        <v>7</v>
      </c>
      <c r="G8" s="0" t="str">
        <f aca="true">TEXT(TODAY()-0,"DD-MMM-YYYY")</f>
        <v>07-Jul-2026</v>
      </c>
    </row>
    <row r="9" customFormat="false" ht="15" hidden="false" customHeight="false" outlineLevel="0" collapsed="false">
      <c r="A9" s="0" t="s">
        <v>63</v>
      </c>
      <c r="B9" s="0" t="s">
        <v>64</v>
      </c>
      <c r="C9" s="0" t="n">
        <v>4</v>
      </c>
      <c r="D9" s="0" t="s">
        <v>65</v>
      </c>
      <c r="E9" s="0" t="s">
        <v>66</v>
      </c>
      <c r="F9" s="0" t="n">
        <v>8</v>
      </c>
      <c r="G9" s="0" t="str">
        <f aca="true">TEXT(TODAY()--1,"DD-MMM-YYYY")</f>
        <v>08-Jul-2026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n">
        <v>5</v>
      </c>
      <c r="D10" s="0" t="s">
        <v>69</v>
      </c>
      <c r="E10" s="0" t="s">
        <v>70</v>
      </c>
      <c r="F10" s="0" t="n">
        <v>9</v>
      </c>
      <c r="G10" s="0" t="str">
        <f aca="true">TEXT(TODAY()--2,"DD-MMM-YYYY")</f>
        <v>09-Jul-2026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n">
        <v>6</v>
      </c>
      <c r="D11" s="0" t="s">
        <v>73</v>
      </c>
      <c r="E11" s="0" t="s">
        <v>74</v>
      </c>
      <c r="F11" s="0" t="n">
        <v>10</v>
      </c>
      <c r="G11" s="0" t="str">
        <f aca="true">TEXT(TODAY()--3,"DD-MMM-YYYY")</f>
        <v>10-Jul-2026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n">
        <v>4</v>
      </c>
      <c r="D12" s="0" t="s">
        <v>77</v>
      </c>
      <c r="E12" s="0" t="s">
        <v>78</v>
      </c>
      <c r="F12" s="0" t="n">
        <v>11</v>
      </c>
    </row>
    <row r="13" customFormat="false" ht="15" hidden="false" customHeight="false" outlineLevel="0" collapsed="false">
      <c r="A13" s="0" t="s">
        <v>79</v>
      </c>
      <c r="B13" s="0" t="s">
        <v>80</v>
      </c>
      <c r="C13" s="0" t="n">
        <v>4</v>
      </c>
      <c r="D13" s="0" t="s">
        <v>81</v>
      </c>
      <c r="E13" s="0" t="s">
        <v>82</v>
      </c>
      <c r="F13" s="0" t="n">
        <v>12</v>
      </c>
    </row>
    <row r="14" customFormat="false" ht="15" hidden="false" customHeight="false" outlineLevel="0" collapsed="false">
      <c r="A14" s="0" t="s">
        <v>83</v>
      </c>
      <c r="B14" s="0" t="s">
        <v>84</v>
      </c>
      <c r="C14" s="0" t="n">
        <v>4</v>
      </c>
      <c r="D14" s="0" t="s">
        <v>85</v>
      </c>
      <c r="E14" s="0" t="s">
        <v>86</v>
      </c>
    </row>
    <row r="15" customFormat="false" ht="15" hidden="false" customHeight="false" outlineLevel="0" collapsed="false">
      <c r="A15" s="0" t="s">
        <v>87</v>
      </c>
      <c r="B15" s="0" t="s">
        <v>88</v>
      </c>
      <c r="C15" s="0" t="n">
        <v>4</v>
      </c>
      <c r="D15" s="0" t="s">
        <v>89</v>
      </c>
      <c r="E15" s="0" t="s">
        <v>90</v>
      </c>
    </row>
    <row r="16" customFormat="false" ht="15" hidden="false" customHeight="false" outlineLevel="0" collapsed="false">
      <c r="A16" s="0" t="s">
        <v>91</v>
      </c>
      <c r="B16" s="0" t="s">
        <v>92</v>
      </c>
      <c r="C16" s="0" t="n">
        <v>4</v>
      </c>
      <c r="D16" s="0" t="s">
        <v>93</v>
      </c>
      <c r="E16" s="0" t="s">
        <v>94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n">
        <v>4</v>
      </c>
      <c r="D17" s="0" t="s">
        <v>97</v>
      </c>
      <c r="E17" s="0" t="s">
        <v>98</v>
      </c>
    </row>
    <row r="18" customFormat="false" ht="15" hidden="false" customHeight="false" outlineLevel="0" collapsed="false">
      <c r="A18" s="0" t="s">
        <v>99</v>
      </c>
      <c r="B18" s="0" t="s">
        <v>100</v>
      </c>
      <c r="C18" s="0" t="n">
        <v>4</v>
      </c>
      <c r="D18" s="0" t="s">
        <v>101</v>
      </c>
      <c r="E18" s="0" t="s">
        <v>102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n">
        <v>4</v>
      </c>
      <c r="D19" s="0" t="s">
        <v>105</v>
      </c>
      <c r="E19" s="0" t="s">
        <v>106</v>
      </c>
    </row>
    <row r="20" customFormat="false" ht="15" hidden="false" customHeight="false" outlineLevel="0" collapsed="false">
      <c r="A20" s="0" t="s">
        <v>107</v>
      </c>
      <c r="B20" s="0" t="s">
        <v>108</v>
      </c>
      <c r="C20" s="0" t="n">
        <v>5</v>
      </c>
      <c r="D20" s="0" t="s">
        <v>109</v>
      </c>
      <c r="E20" s="0" t="s">
        <v>110</v>
      </c>
    </row>
    <row r="21" customFormat="false" ht="15" hidden="false" customHeight="false" outlineLevel="0" collapsed="false">
      <c r="A21" s="0" t="s">
        <v>111</v>
      </c>
      <c r="B21" s="0" t="s">
        <v>112</v>
      </c>
      <c r="C21" s="0" t="n">
        <v>6</v>
      </c>
      <c r="D21" s="0" t="s">
        <v>113</v>
      </c>
      <c r="E21" s="0" t="s">
        <v>114</v>
      </c>
    </row>
    <row r="22" customFormat="false" ht="15" hidden="false" customHeight="false" outlineLevel="0" collapsed="false">
      <c r="A22" s="0" t="s">
        <v>115</v>
      </c>
      <c r="B22" s="0" t="s">
        <v>116</v>
      </c>
      <c r="C22" s="0" t="n">
        <v>4</v>
      </c>
      <c r="D22" s="0" t="s">
        <v>117</v>
      </c>
      <c r="E22" s="0" t="s">
        <v>118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5</v>
      </c>
      <c r="D23" s="0" t="s">
        <v>121</v>
      </c>
      <c r="E23" s="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40"/>
    <col collapsed="false" customWidth="true" hidden="false" outlineLevel="0" max="8" min="8" style="0" width="32"/>
  </cols>
  <sheetData>
    <row r="1" customFormat="false" ht="19.7" hidden="false" customHeight="false" outlineLevel="0" collapsed="false">
      <c r="A1" s="23" t="s">
        <v>123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4" t="s">
        <v>124</v>
      </c>
    </row>
    <row r="3" customFormat="false" ht="15" hidden="false" customHeight="false" outlineLevel="0" collapsed="false">
      <c r="A3" s="25" t="s">
        <v>125</v>
      </c>
      <c r="C3" s="26"/>
      <c r="D3" s="26"/>
      <c r="E3" s="26"/>
      <c r="F3" s="27" t="str">
        <f aca="false">IF($C$3="","pick a dish","Serves "&amp;INDEX(Lists!$C$2:$C$23,MATCH($C$3,Lists!$B$2:$B$23,0))&amp;"  |  "&amp;INDEX($D$6:$D$27,MATCH($C$3,$B$6:$B$27,0))&amp;"  |  "&amp;INDEX(Recipes!$H$6:$H$27,MATCH($C$3,$B$6:$B$27,0)))</f>
        <v>pick a dish</v>
      </c>
      <c r="G3" s="27"/>
      <c r="H3" s="27"/>
      <c r="I3" s="28" t="str">
        <f aca="false">IF($C$3="","",HYPERLINK("#'Recipe Card'!A1","Open Recipe Card &gt;"))</f>
        <v/>
      </c>
    </row>
    <row r="5" customFormat="false" ht="15" hidden="false" customHeight="false" outlineLevel="0" collapsed="false">
      <c r="A5" s="10" t="s">
        <v>126</v>
      </c>
      <c r="B5" s="10" t="s">
        <v>127</v>
      </c>
      <c r="C5" s="10" t="s">
        <v>128</v>
      </c>
      <c r="D5" s="10" t="s">
        <v>129</v>
      </c>
      <c r="E5" s="10" t="s">
        <v>130</v>
      </c>
      <c r="F5" s="10" t="s">
        <v>131</v>
      </c>
      <c r="G5" s="10" t="s">
        <v>132</v>
      </c>
      <c r="H5" s="10" t="s">
        <v>133</v>
      </c>
    </row>
    <row r="6" customFormat="false" ht="158.2" hidden="false" customHeight="false" outlineLevel="0" collapsed="false">
      <c r="A6" s="29" t="s">
        <v>31</v>
      </c>
      <c r="B6" s="30" t="s">
        <v>32</v>
      </c>
      <c r="C6" s="31" t="n">
        <v>6</v>
      </c>
      <c r="D6" s="29" t="s">
        <v>134</v>
      </c>
      <c r="E6" s="32" t="s">
        <v>135</v>
      </c>
      <c r="F6" s="32" t="s">
        <v>136</v>
      </c>
      <c r="G6" s="33" t="s">
        <v>137</v>
      </c>
      <c r="H6" s="34" t="s">
        <v>138</v>
      </c>
    </row>
    <row r="7" customFormat="false" ht="126.85" hidden="false" customHeight="false" outlineLevel="0" collapsed="false">
      <c r="A7" s="35" t="s">
        <v>36</v>
      </c>
      <c r="B7" s="18" t="s">
        <v>37</v>
      </c>
      <c r="C7" s="36" t="n">
        <v>5</v>
      </c>
      <c r="D7" s="35" t="s">
        <v>139</v>
      </c>
      <c r="E7" s="15" t="s">
        <v>135</v>
      </c>
      <c r="F7" s="15" t="s">
        <v>136</v>
      </c>
      <c r="G7" s="37" t="s">
        <v>140</v>
      </c>
      <c r="H7" s="38" t="s">
        <v>141</v>
      </c>
    </row>
    <row r="8" customFormat="false" ht="126.85" hidden="false" customHeight="false" outlineLevel="0" collapsed="false">
      <c r="A8" s="29" t="s">
        <v>41</v>
      </c>
      <c r="B8" s="30" t="s">
        <v>42</v>
      </c>
      <c r="C8" s="31" t="n">
        <v>4</v>
      </c>
      <c r="D8" s="29" t="s">
        <v>142</v>
      </c>
      <c r="E8" s="32" t="s">
        <v>135</v>
      </c>
      <c r="F8" s="32" t="s">
        <v>136</v>
      </c>
      <c r="G8" s="33" t="s">
        <v>143</v>
      </c>
      <c r="H8" s="34" t="s">
        <v>144</v>
      </c>
    </row>
    <row r="9" customFormat="false" ht="147.75" hidden="false" customHeight="false" outlineLevel="0" collapsed="false">
      <c r="A9" s="35" t="s">
        <v>46</v>
      </c>
      <c r="B9" s="18" t="s">
        <v>47</v>
      </c>
      <c r="C9" s="36" t="n">
        <v>5</v>
      </c>
      <c r="D9" s="35" t="s">
        <v>145</v>
      </c>
      <c r="E9" s="15" t="s">
        <v>135</v>
      </c>
      <c r="F9" s="15" t="s">
        <v>136</v>
      </c>
      <c r="G9" s="37" t="s">
        <v>146</v>
      </c>
      <c r="H9" s="38" t="s">
        <v>147</v>
      </c>
    </row>
    <row r="10" customFormat="false" ht="126.85" hidden="false" customHeight="false" outlineLevel="0" collapsed="false">
      <c r="A10" s="29" t="s">
        <v>51</v>
      </c>
      <c r="B10" s="30" t="s">
        <v>52</v>
      </c>
      <c r="C10" s="31" t="n">
        <v>6</v>
      </c>
      <c r="D10" s="29" t="s">
        <v>139</v>
      </c>
      <c r="E10" s="32" t="s">
        <v>135</v>
      </c>
      <c r="F10" s="32" t="s">
        <v>136</v>
      </c>
      <c r="G10" s="33" t="s">
        <v>148</v>
      </c>
      <c r="H10" s="34" t="s">
        <v>149</v>
      </c>
    </row>
    <row r="11" customFormat="false" ht="126.85" hidden="false" customHeight="false" outlineLevel="0" collapsed="false">
      <c r="A11" s="35" t="s">
        <v>55</v>
      </c>
      <c r="B11" s="18" t="s">
        <v>56</v>
      </c>
      <c r="C11" s="36" t="n">
        <v>4</v>
      </c>
      <c r="D11" s="35" t="s">
        <v>150</v>
      </c>
      <c r="E11" s="15" t="s">
        <v>135</v>
      </c>
      <c r="F11" s="15" t="s">
        <v>136</v>
      </c>
      <c r="G11" s="37" t="s">
        <v>151</v>
      </c>
      <c r="H11" s="38" t="s">
        <v>152</v>
      </c>
    </row>
    <row r="12" customFormat="false" ht="126.85" hidden="false" customHeight="false" outlineLevel="0" collapsed="false">
      <c r="A12" s="29" t="s">
        <v>59</v>
      </c>
      <c r="B12" s="30" t="s">
        <v>60</v>
      </c>
      <c r="C12" s="31" t="n">
        <v>4</v>
      </c>
      <c r="D12" s="29" t="s">
        <v>145</v>
      </c>
      <c r="E12" s="32" t="s">
        <v>135</v>
      </c>
      <c r="F12" s="32" t="s">
        <v>136</v>
      </c>
      <c r="G12" s="33" t="s">
        <v>153</v>
      </c>
      <c r="H12" s="34" t="s">
        <v>154</v>
      </c>
    </row>
    <row r="13" customFormat="false" ht="126.85" hidden="false" customHeight="false" outlineLevel="0" collapsed="false">
      <c r="A13" s="35" t="s">
        <v>63</v>
      </c>
      <c r="B13" s="18" t="s">
        <v>64</v>
      </c>
      <c r="C13" s="36" t="n">
        <v>4</v>
      </c>
      <c r="D13" s="35" t="s">
        <v>155</v>
      </c>
      <c r="E13" s="15" t="s">
        <v>135</v>
      </c>
      <c r="F13" s="15" t="s">
        <v>136</v>
      </c>
      <c r="G13" s="37" t="s">
        <v>156</v>
      </c>
      <c r="H13" s="38" t="s">
        <v>157</v>
      </c>
    </row>
    <row r="14" customFormat="false" ht="147.75" hidden="false" customHeight="false" outlineLevel="0" collapsed="false">
      <c r="A14" s="29" t="s">
        <v>67</v>
      </c>
      <c r="B14" s="30" t="s">
        <v>68</v>
      </c>
      <c r="C14" s="31" t="n">
        <v>5</v>
      </c>
      <c r="D14" s="29" t="s">
        <v>158</v>
      </c>
      <c r="E14" s="32" t="s">
        <v>135</v>
      </c>
      <c r="F14" s="32" t="s">
        <v>136</v>
      </c>
      <c r="G14" s="33" t="s">
        <v>159</v>
      </c>
      <c r="H14" s="34" t="s">
        <v>160</v>
      </c>
    </row>
    <row r="15" customFormat="false" ht="158.2" hidden="false" customHeight="false" outlineLevel="0" collapsed="false">
      <c r="A15" s="35" t="s">
        <v>71</v>
      </c>
      <c r="B15" s="18" t="s">
        <v>72</v>
      </c>
      <c r="C15" s="36" t="n">
        <v>6</v>
      </c>
      <c r="D15" s="35" t="s">
        <v>139</v>
      </c>
      <c r="E15" s="15" t="s">
        <v>135</v>
      </c>
      <c r="F15" s="15" t="s">
        <v>136</v>
      </c>
      <c r="G15" s="37" t="s">
        <v>161</v>
      </c>
      <c r="H15" s="38" t="s">
        <v>162</v>
      </c>
    </row>
    <row r="16" customFormat="false" ht="147.75" hidden="false" customHeight="false" outlineLevel="0" collapsed="false">
      <c r="A16" s="29" t="s">
        <v>75</v>
      </c>
      <c r="B16" s="30" t="s">
        <v>76</v>
      </c>
      <c r="C16" s="31" t="n">
        <v>4</v>
      </c>
      <c r="D16" s="29" t="s">
        <v>155</v>
      </c>
      <c r="E16" s="32" t="s">
        <v>135</v>
      </c>
      <c r="F16" s="32" t="s">
        <v>136</v>
      </c>
      <c r="G16" s="33" t="s">
        <v>163</v>
      </c>
      <c r="H16" s="34" t="s">
        <v>164</v>
      </c>
    </row>
    <row r="17" customFormat="false" ht="116.4" hidden="false" customHeight="false" outlineLevel="0" collapsed="false">
      <c r="A17" s="35" t="s">
        <v>79</v>
      </c>
      <c r="B17" s="18" t="s">
        <v>80</v>
      </c>
      <c r="C17" s="36" t="n">
        <v>4</v>
      </c>
      <c r="D17" s="35" t="s">
        <v>165</v>
      </c>
      <c r="E17" s="15" t="s">
        <v>135</v>
      </c>
      <c r="F17" s="15" t="s">
        <v>136</v>
      </c>
      <c r="G17" s="37" t="s">
        <v>166</v>
      </c>
      <c r="H17" s="38" t="s">
        <v>167</v>
      </c>
    </row>
    <row r="18" customFormat="false" ht="126.85" hidden="false" customHeight="false" outlineLevel="0" collapsed="false">
      <c r="A18" s="29" t="s">
        <v>83</v>
      </c>
      <c r="B18" s="30" t="s">
        <v>84</v>
      </c>
      <c r="C18" s="31" t="n">
        <v>4</v>
      </c>
      <c r="D18" s="29" t="s">
        <v>168</v>
      </c>
      <c r="E18" s="32" t="s">
        <v>135</v>
      </c>
      <c r="F18" s="32" t="s">
        <v>136</v>
      </c>
      <c r="G18" s="33" t="s">
        <v>169</v>
      </c>
      <c r="H18" s="34" t="s">
        <v>170</v>
      </c>
    </row>
    <row r="19" customFormat="false" ht="116.4" hidden="false" customHeight="false" outlineLevel="0" collapsed="false">
      <c r="A19" s="35" t="s">
        <v>87</v>
      </c>
      <c r="B19" s="18" t="s">
        <v>88</v>
      </c>
      <c r="C19" s="36" t="n">
        <v>4</v>
      </c>
      <c r="D19" s="35" t="s">
        <v>145</v>
      </c>
      <c r="E19" s="15" t="s">
        <v>135</v>
      </c>
      <c r="F19" s="15" t="s">
        <v>136</v>
      </c>
      <c r="G19" s="37" t="s">
        <v>171</v>
      </c>
      <c r="H19" s="38" t="s">
        <v>172</v>
      </c>
    </row>
    <row r="20" customFormat="false" ht="126.85" hidden="false" customHeight="false" outlineLevel="0" collapsed="false">
      <c r="A20" s="29" t="s">
        <v>91</v>
      </c>
      <c r="B20" s="30" t="s">
        <v>92</v>
      </c>
      <c r="C20" s="31" t="n">
        <v>4</v>
      </c>
      <c r="D20" s="29" t="s">
        <v>165</v>
      </c>
      <c r="E20" s="32" t="s">
        <v>135</v>
      </c>
      <c r="F20" s="32" t="s">
        <v>136</v>
      </c>
      <c r="G20" s="33" t="s">
        <v>173</v>
      </c>
      <c r="H20" s="34" t="s">
        <v>174</v>
      </c>
    </row>
    <row r="21" customFormat="false" ht="147.75" hidden="false" customHeight="false" outlineLevel="0" collapsed="false">
      <c r="A21" s="35" t="s">
        <v>95</v>
      </c>
      <c r="B21" s="18" t="s">
        <v>96</v>
      </c>
      <c r="C21" s="36" t="n">
        <v>4</v>
      </c>
      <c r="D21" s="35" t="s">
        <v>168</v>
      </c>
      <c r="E21" s="15" t="s">
        <v>135</v>
      </c>
      <c r="F21" s="15" t="s">
        <v>136</v>
      </c>
      <c r="G21" s="37" t="s">
        <v>175</v>
      </c>
      <c r="H21" s="38" t="s">
        <v>176</v>
      </c>
    </row>
    <row r="22" customFormat="false" ht="126.85" hidden="false" customHeight="false" outlineLevel="0" collapsed="false">
      <c r="A22" s="29" t="s">
        <v>99</v>
      </c>
      <c r="B22" s="30" t="s">
        <v>100</v>
      </c>
      <c r="C22" s="31" t="n">
        <v>4</v>
      </c>
      <c r="D22" s="29" t="s">
        <v>177</v>
      </c>
      <c r="E22" s="32" t="s">
        <v>135</v>
      </c>
      <c r="F22" s="32" t="s">
        <v>136</v>
      </c>
      <c r="G22" s="33" t="s">
        <v>178</v>
      </c>
      <c r="H22" s="34" t="s">
        <v>179</v>
      </c>
    </row>
    <row r="23" customFormat="false" ht="116.4" hidden="false" customHeight="false" outlineLevel="0" collapsed="false">
      <c r="A23" s="35" t="s">
        <v>103</v>
      </c>
      <c r="B23" s="18" t="s">
        <v>104</v>
      </c>
      <c r="C23" s="36" t="n">
        <v>4</v>
      </c>
      <c r="D23" s="35" t="s">
        <v>180</v>
      </c>
      <c r="E23" s="15" t="s">
        <v>135</v>
      </c>
      <c r="F23" s="15" t="s">
        <v>136</v>
      </c>
      <c r="G23" s="37" t="s">
        <v>181</v>
      </c>
      <c r="H23" s="38" t="s">
        <v>182</v>
      </c>
    </row>
    <row r="24" customFormat="false" ht="158.2" hidden="false" customHeight="false" outlineLevel="0" collapsed="false">
      <c r="A24" s="29" t="s">
        <v>107</v>
      </c>
      <c r="B24" s="30" t="s">
        <v>108</v>
      </c>
      <c r="C24" s="31" t="n">
        <v>5</v>
      </c>
      <c r="D24" s="29" t="s">
        <v>139</v>
      </c>
      <c r="E24" s="32" t="s">
        <v>135</v>
      </c>
      <c r="F24" s="32" t="s">
        <v>136</v>
      </c>
      <c r="G24" s="33" t="s">
        <v>183</v>
      </c>
      <c r="H24" s="34" t="s">
        <v>184</v>
      </c>
    </row>
    <row r="25" customFormat="false" ht="126.85" hidden="false" customHeight="false" outlineLevel="0" collapsed="false">
      <c r="A25" s="35" t="s">
        <v>111</v>
      </c>
      <c r="B25" s="18" t="s">
        <v>112</v>
      </c>
      <c r="C25" s="36" t="n">
        <v>6</v>
      </c>
      <c r="D25" s="35" t="s">
        <v>185</v>
      </c>
      <c r="E25" s="15" t="s">
        <v>135</v>
      </c>
      <c r="F25" s="15" t="s">
        <v>136</v>
      </c>
      <c r="G25" s="37" t="s">
        <v>186</v>
      </c>
      <c r="H25" s="38" t="s">
        <v>187</v>
      </c>
    </row>
    <row r="26" customFormat="false" ht="126.85" hidden="false" customHeight="false" outlineLevel="0" collapsed="false">
      <c r="A26" s="29" t="s">
        <v>115</v>
      </c>
      <c r="B26" s="30" t="s">
        <v>116</v>
      </c>
      <c r="C26" s="31" t="n">
        <v>4</v>
      </c>
      <c r="D26" s="29" t="s">
        <v>155</v>
      </c>
      <c r="E26" s="32" t="s">
        <v>135</v>
      </c>
      <c r="F26" s="32" t="s">
        <v>136</v>
      </c>
      <c r="G26" s="33" t="s">
        <v>188</v>
      </c>
      <c r="H26" s="34" t="s">
        <v>189</v>
      </c>
    </row>
    <row r="27" customFormat="false" ht="105.95" hidden="false" customHeight="false" outlineLevel="0" collapsed="false">
      <c r="A27" s="35" t="s">
        <v>119</v>
      </c>
      <c r="B27" s="18" t="s">
        <v>120</v>
      </c>
      <c r="C27" s="36" t="n">
        <v>5</v>
      </c>
      <c r="D27" s="35" t="s">
        <v>190</v>
      </c>
      <c r="E27" s="15" t="s">
        <v>135</v>
      </c>
      <c r="F27" s="15" t="s">
        <v>136</v>
      </c>
      <c r="G27" s="37" t="s">
        <v>191</v>
      </c>
      <c r="H27" s="38" t="s">
        <v>192</v>
      </c>
    </row>
  </sheetData>
  <mergeCells count="2">
    <mergeCell ref="C3:E3"/>
    <mergeCell ref="F3:H3"/>
  </mergeCells>
  <dataValidations count="1">
    <dataValidation allowBlank="true" errorStyle="stop" operator="between" prompt="Type or pick a dish" showDropDown="false" showErrorMessage="false" showInputMessage="false" sqref="C3" type="list">
      <formula1>Lists!$B$2:$B$23</formula1>
      <formula2>0</formula2>
    </dataValidation>
  </dataValidations>
  <hyperlinks>
    <hyperlink ref="E6" r:id="rId1" display="&gt; Watch video"/>
    <hyperlink ref="F6" r:id="rId2" display="Read recipe"/>
    <hyperlink ref="E7" r:id="rId3" display="&gt; Watch video"/>
    <hyperlink ref="F7" r:id="rId4" display="Read recipe"/>
    <hyperlink ref="E8" r:id="rId5" display="&gt; Watch video"/>
    <hyperlink ref="F8" r:id="rId6" display="Read recipe"/>
    <hyperlink ref="E9" r:id="rId7" display="&gt; Watch video"/>
    <hyperlink ref="F9" r:id="rId8" display="Read recipe"/>
    <hyperlink ref="E10" r:id="rId9" display="&gt; Watch video"/>
    <hyperlink ref="F10" r:id="rId10" display="Read recipe"/>
    <hyperlink ref="E11" r:id="rId11" display="&gt; Watch video"/>
    <hyperlink ref="F11" r:id="rId12" display="Read recipe"/>
    <hyperlink ref="E12" r:id="rId13" display="&gt; Watch video"/>
    <hyperlink ref="F12" r:id="rId14" display="Read recipe"/>
    <hyperlink ref="E13" r:id="rId15" display="&gt; Watch video"/>
    <hyperlink ref="F13" r:id="rId16" display="Read recipe"/>
    <hyperlink ref="E14" r:id="rId17" display="&gt; Watch video"/>
    <hyperlink ref="F14" r:id="rId18" display="Read recipe"/>
    <hyperlink ref="E15" r:id="rId19" display="&gt; Watch video"/>
    <hyperlink ref="F15" r:id="rId20" display="Read recipe"/>
    <hyperlink ref="E16" r:id="rId21" display="&gt; Watch video"/>
    <hyperlink ref="F16" r:id="rId22" display="Read recipe"/>
    <hyperlink ref="E17" r:id="rId23" display="&gt; Watch video"/>
    <hyperlink ref="F17" r:id="rId24" display="Read recipe"/>
    <hyperlink ref="E18" r:id="rId25" display="&gt; Watch video"/>
    <hyperlink ref="F18" r:id="rId26" display="Read recipe"/>
    <hyperlink ref="E19" r:id="rId27" display="&gt; Watch video"/>
    <hyperlink ref="F19" r:id="rId28" display="Read recipe"/>
    <hyperlink ref="E20" r:id="rId29" display="&gt; Watch video"/>
    <hyperlink ref="F20" r:id="rId30" display="Read recipe"/>
    <hyperlink ref="E21" r:id="rId31" display="&gt; Watch video"/>
    <hyperlink ref="F21" r:id="rId32" display="Read recipe"/>
    <hyperlink ref="E22" r:id="rId33" display="&gt; Watch video"/>
    <hyperlink ref="F22" r:id="rId34" display="Read recipe"/>
    <hyperlink ref="E23" r:id="rId35" display="&gt; Watch video"/>
    <hyperlink ref="F23" r:id="rId36" display="Read recipe"/>
    <hyperlink ref="E24" r:id="rId37" display="&gt; Watch video"/>
    <hyperlink ref="F24" r:id="rId38" display="Read recipe"/>
    <hyperlink ref="E25" r:id="rId39" display="&gt; Watch video"/>
    <hyperlink ref="F25" r:id="rId40" display="Read recipe"/>
    <hyperlink ref="E26" r:id="rId41" display="&gt; Watch video"/>
    <hyperlink ref="F26" r:id="rId42" display="Read recipe"/>
    <hyperlink ref="E27" r:id="rId43" display="&gt; Watch video"/>
    <hyperlink ref="F27" r:id="rId44" display="Read recip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E9E"/>
    <pageSetUpPr fitToPage="false"/>
  </sheetPr>
  <dimension ref="A1:M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6" min="5" style="0" width="7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3" min="12" style="0" width="9"/>
  </cols>
  <sheetData>
    <row r="1" customFormat="false" ht="15" hidden="false" customHeight="false" outlineLevel="0" collapsed="false">
      <c r="A1" s="39" t="s">
        <v>193</v>
      </c>
    </row>
    <row r="2" customFormat="false" ht="15" hidden="false" customHeight="false" outlineLevel="0" collapsed="false">
      <c r="A2" s="10" t="s">
        <v>126</v>
      </c>
      <c r="B2" s="10" t="s">
        <v>127</v>
      </c>
      <c r="C2" s="10" t="s">
        <v>194</v>
      </c>
      <c r="D2" s="10" t="s">
        <v>195</v>
      </c>
      <c r="E2" s="10" t="s">
        <v>196</v>
      </c>
      <c r="F2" s="10" t="s">
        <v>197</v>
      </c>
      <c r="G2" s="10" t="s">
        <v>198</v>
      </c>
      <c r="H2" s="10" t="s">
        <v>199</v>
      </c>
      <c r="I2" s="10" t="s">
        <v>200</v>
      </c>
      <c r="J2" s="10" t="s">
        <v>201</v>
      </c>
      <c r="K2" s="10" t="s">
        <v>202</v>
      </c>
      <c r="L2" s="10" t="s">
        <v>203</v>
      </c>
      <c r="M2" s="10" t="s">
        <v>204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205</v>
      </c>
      <c r="D3" s="0" t="n">
        <v>1</v>
      </c>
      <c r="E3" s="0" t="s">
        <v>206</v>
      </c>
      <c r="F3" s="0" t="n">
        <v>6</v>
      </c>
      <c r="G3" s="0" t="n">
        <f aca="false">$D3/$F3</f>
        <v>0.166666666666667</v>
      </c>
      <c r="H3" s="0" t="n">
        <f aca="false">SUMIFS(Home!$E$28:$E$39,Home!$B$28:$B$39,$B3)</f>
        <v>0</v>
      </c>
      <c r="I3" s="0" t="n">
        <f aca="false">$G3*$H3</f>
        <v>0</v>
      </c>
      <c r="J3" s="0" t="n">
        <f aca="false">$G3*Home!$D$5</f>
        <v>0.666666666666667</v>
      </c>
      <c r="K3" s="0" t="n">
        <f aca="false">INDEX(Pantry!$I$7:$I$68,MATCH($C3,Pantry!$A$7:$A$68,0))</f>
        <v>1</v>
      </c>
      <c r="L3" s="0" t="n">
        <f aca="false">IF($K3&gt;=$J3-0.0001,1,0)</f>
        <v>1</v>
      </c>
      <c r="M3" s="0" t="n">
        <f aca="false">MAX(0,$J3-$K3)</f>
        <v>0</v>
      </c>
    </row>
    <row r="4" customFormat="false" ht="15" hidden="false" customHeight="false" outlineLevel="0" collapsed="false">
      <c r="A4" s="0" t="s">
        <v>31</v>
      </c>
      <c r="B4" s="0" t="s">
        <v>32</v>
      </c>
      <c r="C4" s="0" t="s">
        <v>207</v>
      </c>
      <c r="D4" s="0" t="n">
        <v>0.75</v>
      </c>
      <c r="E4" s="0" t="s">
        <v>206</v>
      </c>
      <c r="F4" s="0" t="n">
        <v>6</v>
      </c>
      <c r="G4" s="0" t="n">
        <f aca="false">$D4/$F4</f>
        <v>0.125</v>
      </c>
      <c r="H4" s="0" t="n">
        <f aca="false">SUMIFS(Home!$E$28:$E$39,Home!$B$28:$B$39,$B4)</f>
        <v>0</v>
      </c>
      <c r="I4" s="0" t="n">
        <f aca="false">$G4*$H4</f>
        <v>0</v>
      </c>
      <c r="J4" s="0" t="n">
        <f aca="false">$G4*Home!$D$5</f>
        <v>0.5</v>
      </c>
      <c r="K4" s="0" t="n">
        <f aca="false">INDEX(Pantry!$I$7:$I$68,MATCH($C4,Pantry!$A$7:$A$68,0))</f>
        <v>3</v>
      </c>
      <c r="L4" s="0" t="n">
        <f aca="false">IF($K4&gt;=$J4-0.0001,1,0)</f>
        <v>1</v>
      </c>
      <c r="M4" s="0" t="n">
        <f aca="false">MAX(0,$J4-$K4)</f>
        <v>0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208</v>
      </c>
      <c r="D5" s="0" t="n">
        <v>3</v>
      </c>
      <c r="E5" s="0" t="s">
        <v>209</v>
      </c>
      <c r="F5" s="0" t="n">
        <v>6</v>
      </c>
      <c r="G5" s="0" t="n">
        <f aca="false">$D5/$F5</f>
        <v>0.5</v>
      </c>
      <c r="H5" s="0" t="n">
        <f aca="false">SUMIFS(Home!$E$28:$E$39,Home!$B$28:$B$39,$B5)</f>
        <v>0</v>
      </c>
      <c r="I5" s="0" t="n">
        <f aca="false">$G5*$H5</f>
        <v>0</v>
      </c>
      <c r="J5" s="0" t="n">
        <f aca="false">$G5*Home!$D$5</f>
        <v>2</v>
      </c>
      <c r="K5" s="0" t="n">
        <f aca="false">INDEX(Pantry!$I$7:$I$68,MATCH($C5,Pantry!$A$7:$A$68,0))</f>
        <v>6</v>
      </c>
      <c r="L5" s="0" t="n">
        <f aca="false">IF($K5&gt;=$J5-0.0001,1,0)</f>
        <v>1</v>
      </c>
      <c r="M5" s="0" t="n">
        <f aca="false">MAX(0,$J5-$K5)</f>
        <v>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210</v>
      </c>
      <c r="D6" s="0" t="n">
        <v>3</v>
      </c>
      <c r="E6" s="0" t="s">
        <v>209</v>
      </c>
      <c r="F6" s="0" t="n">
        <v>6</v>
      </c>
      <c r="G6" s="0" t="n">
        <f aca="false">$D6/$F6</f>
        <v>0.5</v>
      </c>
      <c r="H6" s="0" t="n">
        <f aca="false">SUMIFS(Home!$E$28:$E$39,Home!$B$28:$B$39,$B6)</f>
        <v>0</v>
      </c>
      <c r="I6" s="0" t="n">
        <f aca="false">$G6*$H6</f>
        <v>0</v>
      </c>
      <c r="J6" s="0" t="n">
        <f aca="false">$G6*Home!$D$5</f>
        <v>2</v>
      </c>
      <c r="K6" s="0" t="n">
        <f aca="false">INDEX(Pantry!$I$7:$I$68,MATCH($C6,Pantry!$A$7:$A$68,0))</f>
        <v>4</v>
      </c>
      <c r="L6" s="0" t="n">
        <f aca="false">IF($K6&gt;=$J6-0.0001,1,0)</f>
        <v>1</v>
      </c>
      <c r="M6" s="0" t="n">
        <f aca="false">MAX(0,$J6-$K6)</f>
        <v>0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211</v>
      </c>
      <c r="D7" s="0" t="n">
        <v>1</v>
      </c>
      <c r="E7" s="0" t="s">
        <v>212</v>
      </c>
      <c r="F7" s="0" t="n">
        <v>6</v>
      </c>
      <c r="G7" s="0" t="n">
        <f aca="false">$D7/$F7</f>
        <v>0.166666666666667</v>
      </c>
      <c r="H7" s="0" t="n">
        <f aca="false">SUMIFS(Home!$E$28:$E$39,Home!$B$28:$B$39,$B7)</f>
        <v>0</v>
      </c>
      <c r="I7" s="0" t="n">
        <f aca="false">$G7*$H7</f>
        <v>0</v>
      </c>
      <c r="J7" s="0" t="n">
        <f aca="false">$G7*Home!$D$5</f>
        <v>0.666666666666667</v>
      </c>
      <c r="K7" s="0" t="n">
        <f aca="false">INDEX(Pantry!$I$7:$I$68,MATCH($C7,Pantry!$A$7:$A$68,0))</f>
        <v>2</v>
      </c>
      <c r="L7" s="0" t="n">
        <f aca="false">IF($K7&gt;=$J7-0.0001,1,0)</f>
        <v>1</v>
      </c>
      <c r="M7" s="0" t="n">
        <f aca="false">MAX(0,$J7-$K7)</f>
        <v>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213</v>
      </c>
      <c r="D8" s="0" t="n">
        <v>2</v>
      </c>
      <c r="E8" s="0" t="s">
        <v>214</v>
      </c>
      <c r="F8" s="0" t="n">
        <v>6</v>
      </c>
      <c r="G8" s="0" t="n">
        <f aca="false">$D8/$F8</f>
        <v>0.333333333333333</v>
      </c>
      <c r="H8" s="0" t="n">
        <f aca="false">SUMIFS(Home!$E$28:$E$39,Home!$B$28:$B$39,$B8)</f>
        <v>0</v>
      </c>
      <c r="I8" s="0" t="n">
        <f aca="false">$G8*$H8</f>
        <v>0</v>
      </c>
      <c r="J8" s="0" t="n">
        <f aca="false">$G8*Home!$D$5</f>
        <v>1.33333333333333</v>
      </c>
      <c r="K8" s="0" t="n">
        <f aca="false">INDEX(Pantry!$I$7:$I$68,MATCH($C8,Pantry!$A$7:$A$68,0))</f>
        <v>1</v>
      </c>
      <c r="L8" s="0" t="n">
        <f aca="false">IF($K8&gt;=$J8-0.0001,1,0)</f>
        <v>0</v>
      </c>
      <c r="M8" s="0" t="n">
        <f aca="false">MAX(0,$J8-$K8)</f>
        <v>0.333333333333333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215</v>
      </c>
      <c r="D9" s="0" t="n">
        <v>3</v>
      </c>
      <c r="E9" s="0" t="s">
        <v>214</v>
      </c>
      <c r="F9" s="0" t="n">
        <v>6</v>
      </c>
      <c r="G9" s="0" t="n">
        <f aca="false">$D9/$F9</f>
        <v>0.5</v>
      </c>
      <c r="H9" s="0" t="n">
        <f aca="false">SUMIFS(Home!$E$28:$E$39,Home!$B$28:$B$39,$B9)</f>
        <v>0</v>
      </c>
      <c r="I9" s="0" t="n">
        <f aca="false">$G9*$H9</f>
        <v>0</v>
      </c>
      <c r="J9" s="0" t="n">
        <f aca="false">$G9*Home!$D$5</f>
        <v>2</v>
      </c>
      <c r="K9" s="0" t="n">
        <f aca="false">INDEX(Pantry!$I$7:$I$68,MATCH($C9,Pantry!$A$7:$A$68,0))</f>
        <v>2</v>
      </c>
      <c r="L9" s="0" t="n">
        <f aca="false">IF($K9&gt;=$J9-0.0001,1,0)</f>
        <v>1</v>
      </c>
      <c r="M9" s="0" t="n">
        <f aca="false">MAX(0,$J9-$K9)</f>
        <v>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216</v>
      </c>
      <c r="D10" s="0" t="n">
        <v>1</v>
      </c>
      <c r="E10" s="0" t="s">
        <v>212</v>
      </c>
      <c r="F10" s="0" t="n">
        <v>6</v>
      </c>
      <c r="G10" s="0" t="n">
        <f aca="false">$D10/$F10</f>
        <v>0.166666666666667</v>
      </c>
      <c r="H10" s="0" t="n">
        <f aca="false">SUMIFS(Home!$E$28:$E$39,Home!$B$28:$B$39,$B10)</f>
        <v>0</v>
      </c>
      <c r="I10" s="0" t="n">
        <f aca="false">$G10*$H10</f>
        <v>0</v>
      </c>
      <c r="J10" s="0" t="n">
        <f aca="false">$G10*Home!$D$5</f>
        <v>0.666666666666667</v>
      </c>
      <c r="K10" s="0" t="n">
        <f aca="false">INDEX(Pantry!$I$7:$I$68,MATCH($C10,Pantry!$A$7:$A$68,0))</f>
        <v>5</v>
      </c>
      <c r="L10" s="0" t="n">
        <f aca="false">IF($K10&gt;=$J10-0.0001,1,0)</f>
        <v>1</v>
      </c>
      <c r="M10" s="0" t="n">
        <f aca="false">MAX(0,$J10-$K10)</f>
        <v>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217</v>
      </c>
      <c r="D11" s="0" t="n">
        <v>1</v>
      </c>
      <c r="E11" s="0" t="s">
        <v>218</v>
      </c>
      <c r="F11" s="0" t="n">
        <v>6</v>
      </c>
      <c r="G11" s="0" t="n">
        <f aca="false">$D11/$F11</f>
        <v>0.166666666666667</v>
      </c>
      <c r="H11" s="0" t="n">
        <f aca="false">SUMIFS(Home!$E$28:$E$39,Home!$B$28:$B$39,$B11)</f>
        <v>0</v>
      </c>
      <c r="I11" s="0" t="n">
        <f aca="false">$G11*$H11</f>
        <v>0</v>
      </c>
      <c r="J11" s="0" t="n">
        <f aca="false">$G11*Home!$D$5</f>
        <v>0.666666666666667</v>
      </c>
      <c r="K11" s="0" t="n">
        <f aca="false">INDEX(Pantry!$I$7:$I$68,MATCH($C11,Pantry!$A$7:$A$68,0))</f>
        <v>0</v>
      </c>
      <c r="L11" s="0" t="n">
        <f aca="false">IF($K11&gt;=$J11-0.0001,1,0)</f>
        <v>0</v>
      </c>
      <c r="M11" s="0" t="n">
        <f aca="false">MAX(0,$J11-$K11)</f>
        <v>0.666666666666667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219</v>
      </c>
      <c r="D12" s="0" t="n">
        <v>1</v>
      </c>
      <c r="E12" s="0" t="s">
        <v>218</v>
      </c>
      <c r="F12" s="0" t="n">
        <v>6</v>
      </c>
      <c r="G12" s="0" t="n">
        <f aca="false">$D12/$F12</f>
        <v>0.166666666666667</v>
      </c>
      <c r="H12" s="0" t="n">
        <f aca="false">SUMIFS(Home!$E$28:$E$39,Home!$B$28:$B$39,$B12)</f>
        <v>0</v>
      </c>
      <c r="I12" s="0" t="n">
        <f aca="false">$G12*$H12</f>
        <v>0</v>
      </c>
      <c r="J12" s="0" t="n">
        <f aca="false">$G12*Home!$D$5</f>
        <v>0.666666666666667</v>
      </c>
      <c r="K12" s="0" t="n">
        <f aca="false">INDEX(Pantry!$I$7:$I$68,MATCH($C12,Pantry!$A$7:$A$68,0))</f>
        <v>2</v>
      </c>
      <c r="L12" s="0" t="n">
        <f aca="false">IF($K12&gt;=$J12-0.0001,1,0)</f>
        <v>1</v>
      </c>
      <c r="M12" s="0" t="n">
        <f aca="false">MAX(0,$J12-$K12)</f>
        <v>0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220</v>
      </c>
      <c r="D13" s="0" t="n">
        <v>6</v>
      </c>
      <c r="E13" s="0" t="s">
        <v>209</v>
      </c>
      <c r="F13" s="0" t="n">
        <v>6</v>
      </c>
      <c r="G13" s="0" t="n">
        <f aca="false">$D13/$F13</f>
        <v>1</v>
      </c>
      <c r="H13" s="0" t="n">
        <f aca="false">SUMIFS(Home!$E$28:$E$39,Home!$B$28:$B$39,$B13)</f>
        <v>0</v>
      </c>
      <c r="I13" s="0" t="n">
        <f aca="false">$G13*$H13</f>
        <v>0</v>
      </c>
      <c r="J13" s="0" t="n">
        <f aca="false">$G13*Home!$D$5</f>
        <v>4</v>
      </c>
      <c r="K13" s="0" t="n">
        <f aca="false">INDEX(Pantry!$I$7:$I$68,MATCH($C13,Pantry!$A$7:$A$68,0))</f>
        <v>10</v>
      </c>
      <c r="L13" s="0" t="n">
        <f aca="false">IF($K13&gt;=$J13-0.0001,1,0)</f>
        <v>1</v>
      </c>
      <c r="M13" s="0" t="n">
        <f aca="false">MAX(0,$J13-$K13)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221</v>
      </c>
      <c r="D14" s="0" t="n">
        <v>1</v>
      </c>
      <c r="E14" s="0" t="s">
        <v>209</v>
      </c>
      <c r="F14" s="0" t="n">
        <v>6</v>
      </c>
      <c r="G14" s="0" t="n">
        <f aca="false">$D14/$F14</f>
        <v>0.166666666666667</v>
      </c>
      <c r="H14" s="0" t="n">
        <f aca="false">SUMIFS(Home!$E$28:$E$39,Home!$B$28:$B$39,$B14)</f>
        <v>0</v>
      </c>
      <c r="I14" s="0" t="n">
        <f aca="false">$G14*$H14</f>
        <v>0</v>
      </c>
      <c r="J14" s="0" t="n">
        <f aca="false">$G14*Home!$D$5</f>
        <v>0.666666666666667</v>
      </c>
      <c r="K14" s="0" t="n">
        <f aca="false">INDEX(Pantry!$I$7:$I$68,MATCH($C14,Pantry!$A$7:$A$68,0))</f>
        <v>1</v>
      </c>
      <c r="L14" s="0" t="n">
        <f aca="false">IF($K14&gt;=$J14-0.0001,1,0)</f>
        <v>1</v>
      </c>
      <c r="M14" s="0" t="n">
        <f aca="false">MAX(0,$J14-$K14)</f>
        <v>0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222</v>
      </c>
      <c r="D15" s="0" t="n">
        <v>2</v>
      </c>
      <c r="E15" s="0" t="s">
        <v>223</v>
      </c>
      <c r="F15" s="0" t="n">
        <v>6</v>
      </c>
      <c r="G15" s="0" t="n">
        <f aca="false">$D15/$F15</f>
        <v>0.333333333333333</v>
      </c>
      <c r="H15" s="0" t="n">
        <f aca="false">SUMIFS(Home!$E$28:$E$39,Home!$B$28:$B$39,$B15)</f>
        <v>0</v>
      </c>
      <c r="I15" s="0" t="n">
        <f aca="false">$G15*$H15</f>
        <v>0</v>
      </c>
      <c r="J15" s="0" t="n">
        <f aca="false">$G15*Home!$D$5</f>
        <v>1.33333333333333</v>
      </c>
      <c r="K15" s="0" t="n">
        <f aca="false">INDEX(Pantry!$I$7:$I$68,MATCH($C15,Pantry!$A$7:$A$68,0))</f>
        <v>50</v>
      </c>
      <c r="L15" s="0" t="n">
        <f aca="false">IF($K15&gt;=$J15-0.0001,1,0)</f>
        <v>1</v>
      </c>
      <c r="M15" s="0" t="n">
        <f aca="false">MAX(0,$J15-$K15)</f>
        <v>0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s">
        <v>224</v>
      </c>
      <c r="D16" s="0" t="n">
        <v>1</v>
      </c>
      <c r="E16" s="0" t="s">
        <v>212</v>
      </c>
      <c r="F16" s="0" t="n">
        <v>6</v>
      </c>
      <c r="G16" s="0" t="n">
        <f aca="false">$D16/$F16</f>
        <v>0.166666666666667</v>
      </c>
      <c r="H16" s="0" t="n">
        <f aca="false">SUMIFS(Home!$E$28:$E$39,Home!$B$28:$B$39,$B16)</f>
        <v>0</v>
      </c>
      <c r="I16" s="0" t="n">
        <f aca="false">$G16*$H16</f>
        <v>0</v>
      </c>
      <c r="J16" s="0" t="n">
        <f aca="false">$G16*Home!$D$5</f>
        <v>0.666666666666667</v>
      </c>
      <c r="K16" s="0" t="n">
        <f aca="false">INDEX(Pantry!$I$7:$I$68,MATCH($C16,Pantry!$A$7:$A$68,0))</f>
        <v>0</v>
      </c>
      <c r="L16" s="0" t="n">
        <f aca="false">IF($K16&gt;=$J16-0.0001,1,0)</f>
        <v>0</v>
      </c>
      <c r="M16" s="0" t="n">
        <f aca="false">MAX(0,$J16-$K16)</f>
        <v>0.666666666666667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225</v>
      </c>
      <c r="D17" s="0" t="n">
        <v>1</v>
      </c>
      <c r="E17" s="0" t="s">
        <v>223</v>
      </c>
      <c r="F17" s="0" t="n">
        <v>6</v>
      </c>
      <c r="G17" s="0" t="n">
        <f aca="false">$D17/$F17</f>
        <v>0.166666666666667</v>
      </c>
      <c r="H17" s="0" t="n">
        <f aca="false">SUMIFS(Home!$E$28:$E$39,Home!$B$28:$B$39,$B17)</f>
        <v>0</v>
      </c>
      <c r="I17" s="0" t="n">
        <f aca="false">$G17*$H17</f>
        <v>0</v>
      </c>
      <c r="J17" s="0" t="n">
        <f aca="false">$G17*Home!$D$5</f>
        <v>0.666666666666667</v>
      </c>
      <c r="K17" s="0" t="n">
        <f aca="false">INDEX(Pantry!$I$7:$I$68,MATCH($C17,Pantry!$A$7:$A$68,0))</f>
        <v>2</v>
      </c>
      <c r="L17" s="0" t="n">
        <f aca="false">IF($K17&gt;=$J17-0.0001,1,0)</f>
        <v>1</v>
      </c>
      <c r="M17" s="0" t="n">
        <f aca="false">MAX(0,$J17-$K17)</f>
        <v>0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s">
        <v>205</v>
      </c>
      <c r="D18" s="0" t="n">
        <v>1</v>
      </c>
      <c r="E18" s="0" t="s">
        <v>206</v>
      </c>
      <c r="F18" s="0" t="n">
        <v>5</v>
      </c>
      <c r="G18" s="0" t="n">
        <f aca="false">$D18/$F18</f>
        <v>0.2</v>
      </c>
      <c r="H18" s="0" t="n">
        <f aca="false">SUMIFS(Home!$E$28:$E$39,Home!$B$28:$B$39,$B18)</f>
        <v>0</v>
      </c>
      <c r="I18" s="0" t="n">
        <f aca="false">$G18*$H18</f>
        <v>0</v>
      </c>
      <c r="J18" s="0" t="n">
        <f aca="false">$G18*Home!$D$5</f>
        <v>0.8</v>
      </c>
      <c r="K18" s="0" t="n">
        <f aca="false">INDEX(Pantry!$I$7:$I$68,MATCH($C18,Pantry!$A$7:$A$68,0))</f>
        <v>1</v>
      </c>
      <c r="L18" s="0" t="n">
        <f aca="false">IF($K18&gt;=$J18-0.0001,1,0)</f>
        <v>1</v>
      </c>
      <c r="M18" s="0" t="n">
        <f aca="false">MAX(0,$J18-$K18)</f>
        <v>0</v>
      </c>
    </row>
    <row r="19" customFormat="false" ht="15" hidden="false" customHeight="false" outlineLevel="0" collapsed="false">
      <c r="A19" s="0" t="s">
        <v>36</v>
      </c>
      <c r="B19" s="0" t="s">
        <v>37</v>
      </c>
      <c r="C19" s="0" t="s">
        <v>207</v>
      </c>
      <c r="D19" s="0" t="n">
        <v>0.75</v>
      </c>
      <c r="E19" s="0" t="s">
        <v>206</v>
      </c>
      <c r="F19" s="0" t="n">
        <v>5</v>
      </c>
      <c r="G19" s="0" t="n">
        <f aca="false">$D19/$F19</f>
        <v>0.15</v>
      </c>
      <c r="H19" s="0" t="n">
        <f aca="false">SUMIFS(Home!$E$28:$E$39,Home!$B$28:$B$39,$B19)</f>
        <v>0</v>
      </c>
      <c r="I19" s="0" t="n">
        <f aca="false">$G19*$H19</f>
        <v>0</v>
      </c>
      <c r="J19" s="0" t="n">
        <f aca="false">$G19*Home!$D$5</f>
        <v>0.6</v>
      </c>
      <c r="K19" s="0" t="n">
        <f aca="false">INDEX(Pantry!$I$7:$I$68,MATCH($C19,Pantry!$A$7:$A$68,0))</f>
        <v>3</v>
      </c>
      <c r="L19" s="0" t="n">
        <f aca="false">IF($K19&gt;=$J19-0.0001,1,0)</f>
        <v>1</v>
      </c>
      <c r="M19" s="0" t="n">
        <f aca="false">MAX(0,$J19-$K19)</f>
        <v>0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s">
        <v>208</v>
      </c>
      <c r="D20" s="0" t="n">
        <v>2</v>
      </c>
      <c r="E20" s="0" t="s">
        <v>209</v>
      </c>
      <c r="F20" s="0" t="n">
        <v>5</v>
      </c>
      <c r="G20" s="0" t="n">
        <f aca="false">$D20/$F20</f>
        <v>0.4</v>
      </c>
      <c r="H20" s="0" t="n">
        <f aca="false">SUMIFS(Home!$E$28:$E$39,Home!$B$28:$B$39,$B20)</f>
        <v>0</v>
      </c>
      <c r="I20" s="0" t="n">
        <f aca="false">$G20*$H20</f>
        <v>0</v>
      </c>
      <c r="J20" s="0" t="n">
        <f aca="false">$G20*Home!$D$5</f>
        <v>1.6</v>
      </c>
      <c r="K20" s="0" t="n">
        <f aca="false">INDEX(Pantry!$I$7:$I$68,MATCH($C20,Pantry!$A$7:$A$68,0))</f>
        <v>6</v>
      </c>
      <c r="L20" s="0" t="n">
        <f aca="false">IF($K20&gt;=$J20-0.0001,1,0)</f>
        <v>1</v>
      </c>
      <c r="M20" s="0" t="n">
        <f aca="false">MAX(0,$J20-$K20)</f>
        <v>0</v>
      </c>
    </row>
    <row r="21" customFormat="false" ht="15" hidden="false" customHeight="false" outlineLevel="0" collapsed="false">
      <c r="A21" s="0" t="s">
        <v>36</v>
      </c>
      <c r="B21" s="0" t="s">
        <v>37</v>
      </c>
      <c r="C21" s="0" t="s">
        <v>226</v>
      </c>
      <c r="D21" s="0" t="n">
        <v>2</v>
      </c>
      <c r="E21" s="0" t="s">
        <v>214</v>
      </c>
      <c r="F21" s="0" t="n">
        <v>5</v>
      </c>
      <c r="G21" s="0" t="n">
        <f aca="false">$D21/$F21</f>
        <v>0.4</v>
      </c>
      <c r="H21" s="0" t="n">
        <f aca="false">SUMIFS(Home!$E$28:$E$39,Home!$B$28:$B$39,$B21)</f>
        <v>0</v>
      </c>
      <c r="I21" s="0" t="n">
        <f aca="false">$G21*$H21</f>
        <v>0</v>
      </c>
      <c r="J21" s="0" t="n">
        <f aca="false">$G21*Home!$D$5</f>
        <v>1.6</v>
      </c>
      <c r="K21" s="0" t="n">
        <f aca="false">INDEX(Pantry!$I$7:$I$68,MATCH($C21,Pantry!$A$7:$A$68,0))</f>
        <v>4</v>
      </c>
      <c r="L21" s="0" t="n">
        <f aca="false">IF($K21&gt;=$J21-0.0001,1,0)</f>
        <v>1</v>
      </c>
      <c r="M21" s="0" t="n">
        <f aca="false">MAX(0,$J21-$K21)</f>
        <v>0</v>
      </c>
    </row>
    <row r="22" customFormat="false" ht="15" hidden="false" customHeight="false" outlineLevel="0" collapsed="false">
      <c r="A22" s="0" t="s">
        <v>36</v>
      </c>
      <c r="B22" s="0" t="s">
        <v>37</v>
      </c>
      <c r="C22" s="0" t="s">
        <v>227</v>
      </c>
      <c r="D22" s="0" t="n">
        <v>2</v>
      </c>
      <c r="E22" s="0" t="s">
        <v>223</v>
      </c>
      <c r="F22" s="0" t="n">
        <v>5</v>
      </c>
      <c r="G22" s="0" t="n">
        <f aca="false">$D22/$F22</f>
        <v>0.4</v>
      </c>
      <c r="H22" s="0" t="n">
        <f aca="false">SUMIFS(Home!$E$28:$E$39,Home!$B$28:$B$39,$B22)</f>
        <v>0</v>
      </c>
      <c r="I22" s="0" t="n">
        <f aca="false">$G22*$H22</f>
        <v>0</v>
      </c>
      <c r="J22" s="0" t="n">
        <f aca="false">$G22*Home!$D$5</f>
        <v>1.6</v>
      </c>
      <c r="K22" s="0" t="n">
        <f aca="false">INDEX(Pantry!$I$7:$I$68,MATCH($C22,Pantry!$A$7:$A$68,0))</f>
        <v>8</v>
      </c>
      <c r="L22" s="0" t="n">
        <f aca="false">IF($K22&gt;=$J22-0.0001,1,0)</f>
        <v>1</v>
      </c>
      <c r="M22" s="0" t="n">
        <f aca="false">MAX(0,$J22-$K22)</f>
        <v>0</v>
      </c>
    </row>
    <row r="23" customFormat="false" ht="15" hidden="false" customHeight="false" outlineLevel="0" collapsed="false">
      <c r="A23" s="0" t="s">
        <v>36</v>
      </c>
      <c r="B23" s="0" t="s">
        <v>37</v>
      </c>
      <c r="C23" s="0" t="s">
        <v>228</v>
      </c>
      <c r="D23" s="0" t="n">
        <v>2</v>
      </c>
      <c r="E23" s="0" t="s">
        <v>223</v>
      </c>
      <c r="F23" s="0" t="n">
        <v>5</v>
      </c>
      <c r="G23" s="0" t="n">
        <f aca="false">$D23/$F23</f>
        <v>0.4</v>
      </c>
      <c r="H23" s="0" t="n">
        <f aca="false">SUMIFS(Home!$E$28:$E$39,Home!$B$28:$B$39,$B23)</f>
        <v>0</v>
      </c>
      <c r="I23" s="0" t="n">
        <f aca="false">$G23*$H23</f>
        <v>0</v>
      </c>
      <c r="J23" s="0" t="n">
        <f aca="false">$G23*Home!$D$5</f>
        <v>1.6</v>
      </c>
      <c r="K23" s="0" t="n">
        <f aca="false">INDEX(Pantry!$I$7:$I$68,MATCH($C23,Pantry!$A$7:$A$68,0))</f>
        <v>6</v>
      </c>
      <c r="L23" s="0" t="n">
        <f aca="false">IF($K23&gt;=$J23-0.0001,1,0)</f>
        <v>1</v>
      </c>
      <c r="M23" s="0" t="n">
        <f aca="false">MAX(0,$J23-$K23)</f>
        <v>0</v>
      </c>
    </row>
    <row r="24" customFormat="false" ht="15" hidden="false" customHeight="false" outlineLevel="0" collapsed="false">
      <c r="A24" s="0" t="s">
        <v>36</v>
      </c>
      <c r="B24" s="0" t="s">
        <v>37</v>
      </c>
      <c r="C24" s="0" t="s">
        <v>229</v>
      </c>
      <c r="D24" s="0" t="n">
        <v>2</v>
      </c>
      <c r="E24" s="0" t="s">
        <v>223</v>
      </c>
      <c r="F24" s="0" t="n">
        <v>5</v>
      </c>
      <c r="G24" s="0" t="n">
        <f aca="false">$D24/$F24</f>
        <v>0.4</v>
      </c>
      <c r="H24" s="0" t="n">
        <f aca="false">SUMIFS(Home!$E$28:$E$39,Home!$B$28:$B$39,$B24)</f>
        <v>0</v>
      </c>
      <c r="I24" s="0" t="n">
        <f aca="false">$G24*$H24</f>
        <v>0</v>
      </c>
      <c r="J24" s="0" t="n">
        <f aca="false">$G24*Home!$D$5</f>
        <v>1.6</v>
      </c>
      <c r="K24" s="0" t="n">
        <f aca="false">INDEX(Pantry!$I$7:$I$68,MATCH($C24,Pantry!$A$7:$A$68,0))</f>
        <v>1</v>
      </c>
      <c r="L24" s="0" t="n">
        <f aca="false">IF($K24&gt;=$J24-0.0001,1,0)</f>
        <v>0</v>
      </c>
      <c r="M24" s="0" t="n">
        <f aca="false">MAX(0,$J24-$K24)</f>
        <v>0.6</v>
      </c>
    </row>
    <row r="25" customFormat="false" ht="15" hidden="false" customHeight="false" outlineLevel="0" collapsed="false">
      <c r="A25" s="0" t="s">
        <v>36</v>
      </c>
      <c r="B25" s="0" t="s">
        <v>37</v>
      </c>
      <c r="C25" s="0" t="s">
        <v>213</v>
      </c>
      <c r="D25" s="0" t="n">
        <v>2</v>
      </c>
      <c r="E25" s="0" t="s">
        <v>214</v>
      </c>
      <c r="F25" s="0" t="n">
        <v>5</v>
      </c>
      <c r="G25" s="0" t="n">
        <f aca="false">$D25/$F25</f>
        <v>0.4</v>
      </c>
      <c r="H25" s="0" t="n">
        <f aca="false">SUMIFS(Home!$E$28:$E$39,Home!$B$28:$B$39,$B25)</f>
        <v>0</v>
      </c>
      <c r="I25" s="0" t="n">
        <f aca="false">$G25*$H25</f>
        <v>0</v>
      </c>
      <c r="J25" s="0" t="n">
        <f aca="false">$G25*Home!$D$5</f>
        <v>1.6</v>
      </c>
      <c r="K25" s="0" t="n">
        <f aca="false">INDEX(Pantry!$I$7:$I$68,MATCH($C25,Pantry!$A$7:$A$68,0))</f>
        <v>1</v>
      </c>
      <c r="L25" s="0" t="n">
        <f aca="false">IF($K25&gt;=$J25-0.0001,1,0)</f>
        <v>0</v>
      </c>
      <c r="M25" s="0" t="n">
        <f aca="false">MAX(0,$J25-$K25)</f>
        <v>0.6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s">
        <v>211</v>
      </c>
      <c r="D26" s="0" t="n">
        <v>0.5</v>
      </c>
      <c r="E26" s="0" t="s">
        <v>212</v>
      </c>
      <c r="F26" s="0" t="n">
        <v>5</v>
      </c>
      <c r="G26" s="0" t="n">
        <f aca="false">$D26/$F26</f>
        <v>0.1</v>
      </c>
      <c r="H26" s="0" t="n">
        <f aca="false">SUMIFS(Home!$E$28:$E$39,Home!$B$28:$B$39,$B26)</f>
        <v>0</v>
      </c>
      <c r="I26" s="0" t="n">
        <f aca="false">$G26*$H26</f>
        <v>0</v>
      </c>
      <c r="J26" s="0" t="n">
        <f aca="false">$G26*Home!$D$5</f>
        <v>0.4</v>
      </c>
      <c r="K26" s="0" t="n">
        <f aca="false">INDEX(Pantry!$I$7:$I$68,MATCH($C26,Pantry!$A$7:$A$68,0))</f>
        <v>2</v>
      </c>
      <c r="L26" s="0" t="n">
        <f aca="false">IF($K26&gt;=$J26-0.0001,1,0)</f>
        <v>1</v>
      </c>
      <c r="M26" s="0" t="n">
        <f aca="false">MAX(0,$J26-$K26)</f>
        <v>0</v>
      </c>
    </row>
    <row r="27" customFormat="false" ht="15" hidden="false" customHeight="false" outlineLevel="0" collapsed="false">
      <c r="A27" s="0" t="s">
        <v>36</v>
      </c>
      <c r="B27" s="0" t="s">
        <v>37</v>
      </c>
      <c r="C27" s="0" t="s">
        <v>216</v>
      </c>
      <c r="D27" s="0" t="n">
        <v>0.75</v>
      </c>
      <c r="E27" s="0" t="s">
        <v>212</v>
      </c>
      <c r="F27" s="0" t="n">
        <v>5</v>
      </c>
      <c r="G27" s="0" t="n">
        <f aca="false">$D27/$F27</f>
        <v>0.15</v>
      </c>
      <c r="H27" s="0" t="n">
        <f aca="false">SUMIFS(Home!$E$28:$E$39,Home!$B$28:$B$39,$B27)</f>
        <v>0</v>
      </c>
      <c r="I27" s="0" t="n">
        <f aca="false">$G27*$H27</f>
        <v>0</v>
      </c>
      <c r="J27" s="0" t="n">
        <f aca="false">$G27*Home!$D$5</f>
        <v>0.6</v>
      </c>
      <c r="K27" s="0" t="n">
        <f aca="false">INDEX(Pantry!$I$7:$I$68,MATCH($C27,Pantry!$A$7:$A$68,0))</f>
        <v>5</v>
      </c>
      <c r="L27" s="0" t="n">
        <f aca="false">IF($K27&gt;=$J27-0.0001,1,0)</f>
        <v>1</v>
      </c>
      <c r="M27" s="0" t="n">
        <f aca="false">MAX(0,$J27-$K27)</f>
        <v>0</v>
      </c>
    </row>
    <row r="28" customFormat="false" ht="15" hidden="false" customHeight="false" outlineLevel="0" collapsed="false">
      <c r="A28" s="0" t="s">
        <v>36</v>
      </c>
      <c r="B28" s="0" t="s">
        <v>37</v>
      </c>
      <c r="C28" s="0" t="s">
        <v>222</v>
      </c>
      <c r="D28" s="0" t="n">
        <v>2</v>
      </c>
      <c r="E28" s="0" t="s">
        <v>223</v>
      </c>
      <c r="F28" s="0" t="n">
        <v>5</v>
      </c>
      <c r="G28" s="0" t="n">
        <f aca="false">$D28/$F28</f>
        <v>0.4</v>
      </c>
      <c r="H28" s="0" t="n">
        <f aca="false">SUMIFS(Home!$E$28:$E$39,Home!$B$28:$B$39,$B28)</f>
        <v>0</v>
      </c>
      <c r="I28" s="0" t="n">
        <f aca="false">$G28*$H28</f>
        <v>0</v>
      </c>
      <c r="J28" s="0" t="n">
        <f aca="false">$G28*Home!$D$5</f>
        <v>1.6</v>
      </c>
      <c r="K28" s="0" t="n">
        <f aca="false">INDEX(Pantry!$I$7:$I$68,MATCH($C28,Pantry!$A$7:$A$68,0))</f>
        <v>50</v>
      </c>
      <c r="L28" s="0" t="n">
        <f aca="false">IF($K28&gt;=$J28-0.0001,1,0)</f>
        <v>1</v>
      </c>
      <c r="M28" s="0" t="n">
        <f aca="false">MAX(0,$J28-$K28)</f>
        <v>0</v>
      </c>
    </row>
    <row r="29" customFormat="false" ht="15" hidden="false" customHeight="false" outlineLevel="0" collapsed="false">
      <c r="A29" s="0" t="s">
        <v>36</v>
      </c>
      <c r="B29" s="0" t="s">
        <v>37</v>
      </c>
      <c r="C29" s="0" t="s">
        <v>220</v>
      </c>
      <c r="D29" s="0" t="n">
        <v>4</v>
      </c>
      <c r="E29" s="0" t="s">
        <v>209</v>
      </c>
      <c r="F29" s="0" t="n">
        <v>5</v>
      </c>
      <c r="G29" s="0" t="n">
        <f aca="false">$D29/$F29</f>
        <v>0.8</v>
      </c>
      <c r="H29" s="0" t="n">
        <f aca="false">SUMIFS(Home!$E$28:$E$39,Home!$B$28:$B$39,$B29)</f>
        <v>0</v>
      </c>
      <c r="I29" s="0" t="n">
        <f aca="false">$G29*$H29</f>
        <v>0</v>
      </c>
      <c r="J29" s="0" t="n">
        <f aca="false">$G29*Home!$D$5</f>
        <v>3.2</v>
      </c>
      <c r="K29" s="0" t="n">
        <f aca="false">INDEX(Pantry!$I$7:$I$68,MATCH($C29,Pantry!$A$7:$A$68,0))</f>
        <v>10</v>
      </c>
      <c r="L29" s="0" t="n">
        <f aca="false">IF($K29&gt;=$J29-0.0001,1,0)</f>
        <v>1</v>
      </c>
      <c r="M29" s="0" t="n">
        <f aca="false">MAX(0,$J29-$K29)</f>
        <v>0</v>
      </c>
    </row>
    <row r="30" customFormat="false" ht="15" hidden="false" customHeight="false" outlineLevel="0" collapsed="false">
      <c r="A30" s="0" t="s">
        <v>41</v>
      </c>
      <c r="B30" s="0" t="s">
        <v>42</v>
      </c>
      <c r="C30" s="0" t="s">
        <v>230</v>
      </c>
      <c r="D30" s="0" t="n">
        <v>375</v>
      </c>
      <c r="E30" s="0" t="s">
        <v>231</v>
      </c>
      <c r="F30" s="0" t="n">
        <v>4</v>
      </c>
      <c r="G30" s="0" t="n">
        <f aca="false">$D30/$F30</f>
        <v>93.75</v>
      </c>
      <c r="H30" s="0" t="n">
        <f aca="false">SUMIFS(Home!$E$28:$E$39,Home!$B$28:$B$39,$B30)</f>
        <v>0</v>
      </c>
      <c r="I30" s="0" t="n">
        <f aca="false">$G30*$H30</f>
        <v>0</v>
      </c>
      <c r="J30" s="0" t="n">
        <f aca="false">$G30*Home!$D$5</f>
        <v>375</v>
      </c>
      <c r="K30" s="0" t="n">
        <f aca="false">INDEX(Pantry!$I$7:$I$68,MATCH($C30,Pantry!$A$7:$A$68,0))</f>
        <v>0</v>
      </c>
      <c r="L30" s="0" t="n">
        <f aca="false">IF($K30&gt;=$J30-0.0001,1,0)</f>
        <v>0</v>
      </c>
      <c r="M30" s="0" t="n">
        <f aca="false">MAX(0,$J30-$K30)</f>
        <v>375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s">
        <v>208</v>
      </c>
      <c r="D31" s="0" t="n">
        <v>2</v>
      </c>
      <c r="E31" s="0" t="s">
        <v>209</v>
      </c>
      <c r="F31" s="0" t="n">
        <v>4</v>
      </c>
      <c r="G31" s="0" t="n">
        <f aca="false">$D31/$F31</f>
        <v>0.5</v>
      </c>
      <c r="H31" s="0" t="n">
        <f aca="false">SUMIFS(Home!$E$28:$E$39,Home!$B$28:$B$39,$B31)</f>
        <v>0</v>
      </c>
      <c r="I31" s="0" t="n">
        <f aca="false">$G31*$H31</f>
        <v>0</v>
      </c>
      <c r="J31" s="0" t="n">
        <f aca="false">$G31*Home!$D$5</f>
        <v>2</v>
      </c>
      <c r="K31" s="0" t="n">
        <f aca="false">INDEX(Pantry!$I$7:$I$68,MATCH($C31,Pantry!$A$7:$A$68,0))</f>
        <v>6</v>
      </c>
      <c r="L31" s="0" t="n">
        <f aca="false">IF($K31&gt;=$J31-0.0001,1,0)</f>
        <v>1</v>
      </c>
      <c r="M31" s="0" t="n">
        <f aca="false">MAX(0,$J31-$K31)</f>
        <v>0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0" t="s">
        <v>210</v>
      </c>
      <c r="D32" s="0" t="n">
        <v>3</v>
      </c>
      <c r="E32" s="0" t="s">
        <v>209</v>
      </c>
      <c r="F32" s="0" t="n">
        <v>4</v>
      </c>
      <c r="G32" s="0" t="n">
        <f aca="false">$D32/$F32</f>
        <v>0.75</v>
      </c>
      <c r="H32" s="0" t="n">
        <f aca="false">SUMIFS(Home!$E$28:$E$39,Home!$B$28:$B$39,$B32)</f>
        <v>0</v>
      </c>
      <c r="I32" s="0" t="n">
        <f aca="false">$G32*$H32</f>
        <v>0</v>
      </c>
      <c r="J32" s="0" t="n">
        <f aca="false">$G32*Home!$D$5</f>
        <v>3</v>
      </c>
      <c r="K32" s="0" t="n">
        <f aca="false">INDEX(Pantry!$I$7:$I$68,MATCH($C32,Pantry!$A$7:$A$68,0))</f>
        <v>4</v>
      </c>
      <c r="L32" s="0" t="n">
        <f aca="false">IF($K32&gt;=$J32-0.0001,1,0)</f>
        <v>1</v>
      </c>
      <c r="M32" s="0" t="n">
        <f aca="false">MAX(0,$J32-$K32)</f>
        <v>0</v>
      </c>
    </row>
    <row r="33" customFormat="false" ht="15" hidden="false" customHeight="false" outlineLevel="0" collapsed="false">
      <c r="A33" s="0" t="s">
        <v>41</v>
      </c>
      <c r="B33" s="0" t="s">
        <v>42</v>
      </c>
      <c r="C33" s="0" t="s">
        <v>213</v>
      </c>
      <c r="D33" s="0" t="n">
        <v>1.5</v>
      </c>
      <c r="E33" s="0" t="s">
        <v>214</v>
      </c>
      <c r="F33" s="0" t="n">
        <v>4</v>
      </c>
      <c r="G33" s="0" t="n">
        <f aca="false">$D33/$F33</f>
        <v>0.375</v>
      </c>
      <c r="H33" s="0" t="n">
        <f aca="false">SUMIFS(Home!$E$28:$E$39,Home!$B$28:$B$39,$B33)</f>
        <v>0</v>
      </c>
      <c r="I33" s="0" t="n">
        <f aca="false">$G33*$H33</f>
        <v>0</v>
      </c>
      <c r="J33" s="0" t="n">
        <f aca="false">$G33*Home!$D$5</f>
        <v>1.5</v>
      </c>
      <c r="K33" s="0" t="n">
        <f aca="false">INDEX(Pantry!$I$7:$I$68,MATCH($C33,Pantry!$A$7:$A$68,0))</f>
        <v>1</v>
      </c>
      <c r="L33" s="0" t="n">
        <f aca="false">IF($K33&gt;=$J33-0.0001,1,0)</f>
        <v>0</v>
      </c>
      <c r="M33" s="0" t="n">
        <f aca="false">MAX(0,$J33-$K33)</f>
        <v>0.5</v>
      </c>
    </row>
    <row r="34" customFormat="false" ht="15" hidden="false" customHeight="false" outlineLevel="0" collapsed="false">
      <c r="A34" s="0" t="s">
        <v>41</v>
      </c>
      <c r="B34" s="0" t="s">
        <v>42</v>
      </c>
      <c r="C34" s="0" t="s">
        <v>232</v>
      </c>
      <c r="D34" s="0" t="n">
        <v>2</v>
      </c>
      <c r="E34" s="0" t="s">
        <v>223</v>
      </c>
      <c r="F34" s="0" t="n">
        <v>4</v>
      </c>
      <c r="G34" s="0" t="n">
        <f aca="false">$D34/$F34</f>
        <v>0.5</v>
      </c>
      <c r="H34" s="0" t="n">
        <f aca="false">SUMIFS(Home!$E$28:$E$39,Home!$B$28:$B$39,$B34)</f>
        <v>0</v>
      </c>
      <c r="I34" s="0" t="n">
        <f aca="false">$G34*$H34</f>
        <v>0</v>
      </c>
      <c r="J34" s="0" t="n">
        <f aca="false">$G34*Home!$D$5</f>
        <v>2</v>
      </c>
      <c r="K34" s="0" t="n">
        <f aca="false">INDEX(Pantry!$I$7:$I$68,MATCH($C34,Pantry!$A$7:$A$68,0))</f>
        <v>20</v>
      </c>
      <c r="L34" s="0" t="n">
        <f aca="false">IF($K34&gt;=$J34-0.0001,1,0)</f>
        <v>1</v>
      </c>
      <c r="M34" s="0" t="n">
        <f aca="false">MAX(0,$J34-$K34)</f>
        <v>0</v>
      </c>
    </row>
    <row r="35" customFormat="false" ht="15" hidden="false" customHeight="false" outlineLevel="0" collapsed="false">
      <c r="A35" s="0" t="s">
        <v>41</v>
      </c>
      <c r="B35" s="0" t="s">
        <v>42</v>
      </c>
      <c r="C35" s="0" t="s">
        <v>233</v>
      </c>
      <c r="D35" s="0" t="n">
        <v>0.5</v>
      </c>
      <c r="E35" s="0" t="s">
        <v>223</v>
      </c>
      <c r="F35" s="0" t="n">
        <v>4</v>
      </c>
      <c r="G35" s="0" t="n">
        <f aca="false">$D35/$F35</f>
        <v>0.125</v>
      </c>
      <c r="H35" s="0" t="n">
        <f aca="false">SUMIFS(Home!$E$28:$E$39,Home!$B$28:$B$39,$B35)</f>
        <v>0</v>
      </c>
      <c r="I35" s="0" t="n">
        <f aca="false">$G35*$H35</f>
        <v>0</v>
      </c>
      <c r="J35" s="0" t="n">
        <f aca="false">$G35*Home!$D$5</f>
        <v>0.5</v>
      </c>
      <c r="K35" s="0" t="n">
        <f aca="false">INDEX(Pantry!$I$7:$I$68,MATCH($C35,Pantry!$A$7:$A$68,0))</f>
        <v>15</v>
      </c>
      <c r="L35" s="0" t="n">
        <f aca="false">IF($K35&gt;=$J35-0.0001,1,0)</f>
        <v>1</v>
      </c>
      <c r="M35" s="0" t="n">
        <f aca="false">MAX(0,$J35-$K35)</f>
        <v>0</v>
      </c>
    </row>
    <row r="36" customFormat="false" ht="15" hidden="false" customHeight="false" outlineLevel="0" collapsed="false">
      <c r="A36" s="0" t="s">
        <v>41</v>
      </c>
      <c r="B36" s="0" t="s">
        <v>42</v>
      </c>
      <c r="C36" s="0" t="s">
        <v>234</v>
      </c>
      <c r="D36" s="0" t="n">
        <v>2</v>
      </c>
      <c r="E36" s="0" t="s">
        <v>223</v>
      </c>
      <c r="F36" s="0" t="n">
        <v>4</v>
      </c>
      <c r="G36" s="0" t="n">
        <f aca="false">$D36/$F36</f>
        <v>0.5</v>
      </c>
      <c r="H36" s="0" t="n">
        <f aca="false">SUMIFS(Home!$E$28:$E$39,Home!$B$28:$B$39,$B36)</f>
        <v>0</v>
      </c>
      <c r="I36" s="0" t="n">
        <f aca="false">$G36*$H36</f>
        <v>0</v>
      </c>
      <c r="J36" s="0" t="n">
        <f aca="false">$G36*Home!$D$5</f>
        <v>2</v>
      </c>
      <c r="K36" s="0" t="n">
        <f aca="false">INDEX(Pantry!$I$7:$I$68,MATCH($C36,Pantry!$A$7:$A$68,0))</f>
        <v>12</v>
      </c>
      <c r="L36" s="0" t="n">
        <f aca="false">IF($K36&gt;=$J36-0.0001,1,0)</f>
        <v>1</v>
      </c>
      <c r="M36" s="0" t="n">
        <f aca="false">MAX(0,$J36-$K36)</f>
        <v>0</v>
      </c>
    </row>
    <row r="37" customFormat="false" ht="15" hidden="false" customHeight="false" outlineLevel="0" collapsed="false">
      <c r="A37" s="0" t="s">
        <v>41</v>
      </c>
      <c r="B37" s="0" t="s">
        <v>42</v>
      </c>
      <c r="C37" s="0" t="s">
        <v>227</v>
      </c>
      <c r="D37" s="0" t="n">
        <v>1</v>
      </c>
      <c r="E37" s="0" t="s">
        <v>223</v>
      </c>
      <c r="F37" s="0" t="n">
        <v>4</v>
      </c>
      <c r="G37" s="0" t="n">
        <f aca="false">$D37/$F37</f>
        <v>0.25</v>
      </c>
      <c r="H37" s="0" t="n">
        <f aca="false">SUMIFS(Home!$E$28:$E$39,Home!$B$28:$B$39,$B37)</f>
        <v>0</v>
      </c>
      <c r="I37" s="0" t="n">
        <f aca="false">$G37*$H37</f>
        <v>0</v>
      </c>
      <c r="J37" s="0" t="n">
        <f aca="false">$G37*Home!$D$5</f>
        <v>1</v>
      </c>
      <c r="K37" s="0" t="n">
        <f aca="false">INDEX(Pantry!$I$7:$I$68,MATCH($C37,Pantry!$A$7:$A$68,0))</f>
        <v>8</v>
      </c>
      <c r="L37" s="0" t="n">
        <f aca="false">IF($K37&gt;=$J37-0.0001,1,0)</f>
        <v>1</v>
      </c>
      <c r="M37" s="0" t="n">
        <f aca="false">MAX(0,$J37-$K37)</f>
        <v>0</v>
      </c>
    </row>
    <row r="38" customFormat="false" ht="15" hidden="false" customHeight="false" outlineLevel="0" collapsed="false">
      <c r="A38" s="0" t="s">
        <v>41</v>
      </c>
      <c r="B38" s="0" t="s">
        <v>42</v>
      </c>
      <c r="C38" s="0" t="s">
        <v>235</v>
      </c>
      <c r="D38" s="0" t="n">
        <v>1</v>
      </c>
      <c r="E38" s="0" t="s">
        <v>223</v>
      </c>
      <c r="F38" s="0" t="n">
        <v>4</v>
      </c>
      <c r="G38" s="0" t="n">
        <f aca="false">$D38/$F38</f>
        <v>0.25</v>
      </c>
      <c r="H38" s="0" t="n">
        <f aca="false">SUMIFS(Home!$E$28:$E$39,Home!$B$28:$B$39,$B38)</f>
        <v>0</v>
      </c>
      <c r="I38" s="0" t="n">
        <f aca="false">$G38*$H38</f>
        <v>0</v>
      </c>
      <c r="J38" s="0" t="n">
        <f aca="false">$G38*Home!$D$5</f>
        <v>1</v>
      </c>
      <c r="K38" s="0" t="n">
        <f aca="false">INDEX(Pantry!$I$7:$I$68,MATCH($C38,Pantry!$A$7:$A$68,0))</f>
        <v>10</v>
      </c>
      <c r="L38" s="0" t="n">
        <f aca="false">IF($K38&gt;=$J38-0.0001,1,0)</f>
        <v>1</v>
      </c>
      <c r="M38" s="0" t="n">
        <f aca="false">MAX(0,$J38-$K38)</f>
        <v>0</v>
      </c>
    </row>
    <row r="39" customFormat="false" ht="15" hidden="false" customHeight="false" outlineLevel="0" collapsed="false">
      <c r="A39" s="0" t="s">
        <v>41</v>
      </c>
      <c r="B39" s="0" t="s">
        <v>42</v>
      </c>
      <c r="C39" s="0" t="s">
        <v>216</v>
      </c>
      <c r="D39" s="0" t="n">
        <v>0.5</v>
      </c>
      <c r="E39" s="0" t="s">
        <v>212</v>
      </c>
      <c r="F39" s="0" t="n">
        <v>4</v>
      </c>
      <c r="G39" s="0" t="n">
        <f aca="false">$D39/$F39</f>
        <v>0.125</v>
      </c>
      <c r="H39" s="0" t="n">
        <f aca="false">SUMIFS(Home!$E$28:$E$39,Home!$B$28:$B$39,$B39)</f>
        <v>0</v>
      </c>
      <c r="I39" s="0" t="n">
        <f aca="false">$G39*$H39</f>
        <v>0</v>
      </c>
      <c r="J39" s="0" t="n">
        <f aca="false">$G39*Home!$D$5</f>
        <v>0.5</v>
      </c>
      <c r="K39" s="0" t="n">
        <f aca="false">INDEX(Pantry!$I$7:$I$68,MATCH($C39,Pantry!$A$7:$A$68,0))</f>
        <v>5</v>
      </c>
      <c r="L39" s="0" t="n">
        <f aca="false">IF($K39&gt;=$J39-0.0001,1,0)</f>
        <v>1</v>
      </c>
      <c r="M39" s="0" t="n">
        <f aca="false">MAX(0,$J39-$K39)</f>
        <v>0</v>
      </c>
    </row>
    <row r="40" customFormat="false" ht="15" hidden="false" customHeight="false" outlineLevel="0" collapsed="false">
      <c r="A40" s="0" t="s">
        <v>41</v>
      </c>
      <c r="B40" s="0" t="s">
        <v>42</v>
      </c>
      <c r="C40" s="0" t="s">
        <v>222</v>
      </c>
      <c r="D40" s="0" t="n">
        <v>1.5</v>
      </c>
      <c r="E40" s="0" t="s">
        <v>223</v>
      </c>
      <c r="F40" s="0" t="n">
        <v>4</v>
      </c>
      <c r="G40" s="0" t="n">
        <f aca="false">$D40/$F40</f>
        <v>0.375</v>
      </c>
      <c r="H40" s="0" t="n">
        <f aca="false">SUMIFS(Home!$E$28:$E$39,Home!$B$28:$B$39,$B40)</f>
        <v>0</v>
      </c>
      <c r="I40" s="0" t="n">
        <f aca="false">$G40*$H40</f>
        <v>0</v>
      </c>
      <c r="J40" s="0" t="n">
        <f aca="false">$G40*Home!$D$5</f>
        <v>1.5</v>
      </c>
      <c r="K40" s="0" t="n">
        <f aca="false">INDEX(Pantry!$I$7:$I$68,MATCH($C40,Pantry!$A$7:$A$68,0))</f>
        <v>50</v>
      </c>
      <c r="L40" s="0" t="n">
        <f aca="false">IF($K40&gt;=$J40-0.0001,1,0)</f>
        <v>1</v>
      </c>
      <c r="M40" s="0" t="n">
        <f aca="false">MAX(0,$J40-$K40)</f>
        <v>0</v>
      </c>
    </row>
    <row r="41" customFormat="false" ht="15" hidden="false" customHeight="false" outlineLevel="0" collapsed="false">
      <c r="A41" s="0" t="s">
        <v>41</v>
      </c>
      <c r="B41" s="0" t="s">
        <v>42</v>
      </c>
      <c r="C41" s="0" t="s">
        <v>219</v>
      </c>
      <c r="D41" s="0" t="n">
        <v>0.5</v>
      </c>
      <c r="E41" s="0" t="s">
        <v>218</v>
      </c>
      <c r="F41" s="0" t="n">
        <v>4</v>
      </c>
      <c r="G41" s="0" t="n">
        <f aca="false">$D41/$F41</f>
        <v>0.125</v>
      </c>
      <c r="H41" s="0" t="n">
        <f aca="false">SUMIFS(Home!$E$28:$E$39,Home!$B$28:$B$39,$B41)</f>
        <v>0</v>
      </c>
      <c r="I41" s="0" t="n">
        <f aca="false">$G41*$H41</f>
        <v>0</v>
      </c>
      <c r="J41" s="0" t="n">
        <f aca="false">$G41*Home!$D$5</f>
        <v>0.5</v>
      </c>
      <c r="K41" s="0" t="n">
        <f aca="false">INDEX(Pantry!$I$7:$I$68,MATCH($C41,Pantry!$A$7:$A$68,0))</f>
        <v>2</v>
      </c>
      <c r="L41" s="0" t="n">
        <f aca="false">IF($K41&gt;=$J41-0.0001,1,0)</f>
        <v>1</v>
      </c>
      <c r="M41" s="0" t="n">
        <f aca="false">MAX(0,$J41-$K41)</f>
        <v>0</v>
      </c>
    </row>
    <row r="42" customFormat="false" ht="15" hidden="false" customHeight="false" outlineLevel="0" collapsed="false">
      <c r="A42" s="0" t="s">
        <v>46</v>
      </c>
      <c r="B42" s="0" t="s">
        <v>47</v>
      </c>
      <c r="C42" s="0" t="s">
        <v>205</v>
      </c>
      <c r="D42" s="0" t="n">
        <v>1</v>
      </c>
      <c r="E42" s="0" t="s">
        <v>206</v>
      </c>
      <c r="F42" s="0" t="n">
        <v>5</v>
      </c>
      <c r="G42" s="0" t="n">
        <f aca="false">$D42/$F42</f>
        <v>0.2</v>
      </c>
      <c r="H42" s="0" t="n">
        <f aca="false">SUMIFS(Home!$E$28:$E$39,Home!$B$28:$B$39,$B42)</f>
        <v>0</v>
      </c>
      <c r="I42" s="0" t="n">
        <f aca="false">$G42*$H42</f>
        <v>0</v>
      </c>
      <c r="J42" s="0" t="n">
        <f aca="false">$G42*Home!$D$5</f>
        <v>0.8</v>
      </c>
      <c r="K42" s="0" t="n">
        <f aca="false">INDEX(Pantry!$I$7:$I$68,MATCH($C42,Pantry!$A$7:$A$68,0))</f>
        <v>1</v>
      </c>
      <c r="L42" s="0" t="n">
        <f aca="false">IF($K42&gt;=$J42-0.0001,1,0)</f>
        <v>1</v>
      </c>
      <c r="M42" s="0" t="n">
        <f aca="false">MAX(0,$J42-$K42)</f>
        <v>0</v>
      </c>
    </row>
    <row r="43" customFormat="false" ht="15" hidden="false" customHeight="false" outlineLevel="0" collapsed="false">
      <c r="A43" s="0" t="s">
        <v>46</v>
      </c>
      <c r="B43" s="0" t="s">
        <v>47</v>
      </c>
      <c r="C43" s="0" t="s">
        <v>210</v>
      </c>
      <c r="D43" s="0" t="n">
        <v>6</v>
      </c>
      <c r="E43" s="0" t="s">
        <v>209</v>
      </c>
      <c r="F43" s="0" t="n">
        <v>5</v>
      </c>
      <c r="G43" s="0" t="n">
        <f aca="false">$D43/$F43</f>
        <v>1.2</v>
      </c>
      <c r="H43" s="0" t="n">
        <f aca="false">SUMIFS(Home!$E$28:$E$39,Home!$B$28:$B$39,$B43)</f>
        <v>0</v>
      </c>
      <c r="I43" s="0" t="n">
        <f aca="false">$G43*$H43</f>
        <v>0</v>
      </c>
      <c r="J43" s="0" t="n">
        <f aca="false">$G43*Home!$D$5</f>
        <v>4.8</v>
      </c>
      <c r="K43" s="0" t="n">
        <f aca="false">INDEX(Pantry!$I$7:$I$68,MATCH($C43,Pantry!$A$7:$A$68,0))</f>
        <v>4</v>
      </c>
      <c r="L43" s="0" t="n">
        <f aca="false">IF($K43&gt;=$J43-0.0001,1,0)</f>
        <v>0</v>
      </c>
      <c r="M43" s="0" t="n">
        <f aca="false">MAX(0,$J43-$K43)</f>
        <v>0.8</v>
      </c>
    </row>
    <row r="44" customFormat="false" ht="15" hidden="false" customHeight="false" outlineLevel="0" collapsed="false">
      <c r="A44" s="0" t="s">
        <v>46</v>
      </c>
      <c r="B44" s="0" t="s">
        <v>47</v>
      </c>
      <c r="C44" s="0" t="s">
        <v>213</v>
      </c>
      <c r="D44" s="0" t="n">
        <v>2</v>
      </c>
      <c r="E44" s="0" t="s">
        <v>214</v>
      </c>
      <c r="F44" s="0" t="n">
        <v>5</v>
      </c>
      <c r="G44" s="0" t="n">
        <f aca="false">$D44/$F44</f>
        <v>0.4</v>
      </c>
      <c r="H44" s="0" t="n">
        <f aca="false">SUMIFS(Home!$E$28:$E$39,Home!$B$28:$B$39,$B44)</f>
        <v>0</v>
      </c>
      <c r="I44" s="0" t="n">
        <f aca="false">$G44*$H44</f>
        <v>0</v>
      </c>
      <c r="J44" s="0" t="n">
        <f aca="false">$G44*Home!$D$5</f>
        <v>1.6</v>
      </c>
      <c r="K44" s="0" t="n">
        <f aca="false">INDEX(Pantry!$I$7:$I$68,MATCH($C44,Pantry!$A$7:$A$68,0))</f>
        <v>1</v>
      </c>
      <c r="L44" s="0" t="n">
        <f aca="false">IF($K44&gt;=$J44-0.0001,1,0)</f>
        <v>0</v>
      </c>
      <c r="M44" s="0" t="n">
        <f aca="false">MAX(0,$J44-$K44)</f>
        <v>0.6</v>
      </c>
    </row>
    <row r="45" customFormat="false" ht="15" hidden="false" customHeight="false" outlineLevel="0" collapsed="false">
      <c r="A45" s="0" t="s">
        <v>46</v>
      </c>
      <c r="B45" s="0" t="s">
        <v>47</v>
      </c>
      <c r="C45" s="0" t="s">
        <v>220</v>
      </c>
      <c r="D45" s="0" t="n">
        <v>8</v>
      </c>
      <c r="E45" s="0" t="s">
        <v>209</v>
      </c>
      <c r="F45" s="0" t="n">
        <v>5</v>
      </c>
      <c r="G45" s="0" t="n">
        <f aca="false">$D45/$F45</f>
        <v>1.6</v>
      </c>
      <c r="H45" s="0" t="n">
        <f aca="false">SUMIFS(Home!$E$28:$E$39,Home!$B$28:$B$39,$B45)</f>
        <v>0</v>
      </c>
      <c r="I45" s="0" t="n">
        <f aca="false">$G45*$H45</f>
        <v>0</v>
      </c>
      <c r="J45" s="0" t="n">
        <f aca="false">$G45*Home!$D$5</f>
        <v>6.4</v>
      </c>
      <c r="K45" s="0" t="n">
        <f aca="false">INDEX(Pantry!$I$7:$I$68,MATCH($C45,Pantry!$A$7:$A$68,0))</f>
        <v>10</v>
      </c>
      <c r="L45" s="0" t="n">
        <f aca="false">IF($K45&gt;=$J45-0.0001,1,0)</f>
        <v>1</v>
      </c>
      <c r="M45" s="0" t="n">
        <f aca="false">MAX(0,$J45-$K45)</f>
        <v>0</v>
      </c>
    </row>
    <row r="46" customFormat="false" ht="15" hidden="false" customHeight="false" outlineLevel="0" collapsed="false">
      <c r="A46" s="0" t="s">
        <v>46</v>
      </c>
      <c r="B46" s="0" t="s">
        <v>47</v>
      </c>
      <c r="C46" s="0" t="s">
        <v>236</v>
      </c>
      <c r="D46" s="0" t="n">
        <v>2</v>
      </c>
      <c r="E46" s="0" t="s">
        <v>237</v>
      </c>
      <c r="F46" s="0" t="n">
        <v>5</v>
      </c>
      <c r="G46" s="0" t="n">
        <f aca="false">$D46/$F46</f>
        <v>0.4</v>
      </c>
      <c r="H46" s="0" t="n">
        <f aca="false">SUMIFS(Home!$E$28:$E$39,Home!$B$28:$B$39,$B46)</f>
        <v>0</v>
      </c>
      <c r="I46" s="0" t="n">
        <f aca="false">$G46*$H46</f>
        <v>0</v>
      </c>
      <c r="J46" s="0" t="n">
        <f aca="false">$G46*Home!$D$5</f>
        <v>1.6</v>
      </c>
      <c r="K46" s="0" t="n">
        <f aca="false">INDEX(Pantry!$I$7:$I$68,MATCH($C46,Pantry!$A$7:$A$68,0))</f>
        <v>3</v>
      </c>
      <c r="L46" s="0" t="n">
        <f aca="false">IF($K46&gt;=$J46-0.0001,1,0)</f>
        <v>1</v>
      </c>
      <c r="M46" s="0" t="n">
        <f aca="false">MAX(0,$J46-$K46)</f>
        <v>0</v>
      </c>
    </row>
    <row r="47" customFormat="false" ht="15" hidden="false" customHeight="false" outlineLevel="0" collapsed="false">
      <c r="A47" s="0" t="s">
        <v>46</v>
      </c>
      <c r="B47" s="0" t="s">
        <v>47</v>
      </c>
      <c r="C47" s="0" t="s">
        <v>211</v>
      </c>
      <c r="D47" s="0" t="n">
        <v>0.5</v>
      </c>
      <c r="E47" s="0" t="s">
        <v>212</v>
      </c>
      <c r="F47" s="0" t="n">
        <v>5</v>
      </c>
      <c r="G47" s="0" t="n">
        <f aca="false">$D47/$F47</f>
        <v>0.1</v>
      </c>
      <c r="H47" s="0" t="n">
        <f aca="false">SUMIFS(Home!$E$28:$E$39,Home!$B$28:$B$39,$B47)</f>
        <v>0</v>
      </c>
      <c r="I47" s="0" t="n">
        <f aca="false">$G47*$H47</f>
        <v>0</v>
      </c>
      <c r="J47" s="0" t="n">
        <f aca="false">$G47*Home!$D$5</f>
        <v>0.4</v>
      </c>
      <c r="K47" s="0" t="n">
        <f aca="false">INDEX(Pantry!$I$7:$I$68,MATCH($C47,Pantry!$A$7:$A$68,0))</f>
        <v>2</v>
      </c>
      <c r="L47" s="0" t="n">
        <f aca="false">IF($K47&gt;=$J47-0.0001,1,0)</f>
        <v>1</v>
      </c>
      <c r="M47" s="0" t="n">
        <f aca="false">MAX(0,$J47-$K47)</f>
        <v>0</v>
      </c>
    </row>
    <row r="48" customFormat="false" ht="15" hidden="false" customHeight="false" outlineLevel="0" collapsed="false">
      <c r="A48" s="0" t="s">
        <v>46</v>
      </c>
      <c r="B48" s="0" t="s">
        <v>47</v>
      </c>
      <c r="C48" s="0" t="s">
        <v>232</v>
      </c>
      <c r="D48" s="0" t="n">
        <v>2</v>
      </c>
      <c r="E48" s="0" t="s">
        <v>223</v>
      </c>
      <c r="F48" s="0" t="n">
        <v>5</v>
      </c>
      <c r="G48" s="0" t="n">
        <f aca="false">$D48/$F48</f>
        <v>0.4</v>
      </c>
      <c r="H48" s="0" t="n">
        <f aca="false">SUMIFS(Home!$E$28:$E$39,Home!$B$28:$B$39,$B48)</f>
        <v>0</v>
      </c>
      <c r="I48" s="0" t="n">
        <f aca="false">$G48*$H48</f>
        <v>0</v>
      </c>
      <c r="J48" s="0" t="n">
        <f aca="false">$G48*Home!$D$5</f>
        <v>1.6</v>
      </c>
      <c r="K48" s="0" t="n">
        <f aca="false">INDEX(Pantry!$I$7:$I$68,MATCH($C48,Pantry!$A$7:$A$68,0))</f>
        <v>20</v>
      </c>
      <c r="L48" s="0" t="n">
        <f aca="false">IF($K48&gt;=$J48-0.0001,1,0)</f>
        <v>1</v>
      </c>
      <c r="M48" s="0" t="n">
        <f aca="false">MAX(0,$J48-$K48)</f>
        <v>0</v>
      </c>
    </row>
    <row r="49" customFormat="false" ht="15" hidden="false" customHeight="false" outlineLevel="0" collapsed="false">
      <c r="A49" s="0" t="s">
        <v>46</v>
      </c>
      <c r="B49" s="0" t="s">
        <v>47</v>
      </c>
      <c r="C49" s="0" t="s">
        <v>238</v>
      </c>
      <c r="D49" s="0" t="n">
        <v>1</v>
      </c>
      <c r="E49" s="0" t="s">
        <v>223</v>
      </c>
      <c r="F49" s="0" t="n">
        <v>5</v>
      </c>
      <c r="G49" s="0" t="n">
        <f aca="false">$D49/$F49</f>
        <v>0.2</v>
      </c>
      <c r="H49" s="0" t="n">
        <f aca="false">SUMIFS(Home!$E$28:$E$39,Home!$B$28:$B$39,$B49)</f>
        <v>0</v>
      </c>
      <c r="I49" s="0" t="n">
        <f aca="false">$G49*$H49</f>
        <v>0</v>
      </c>
      <c r="J49" s="0" t="n">
        <f aca="false">$G49*Home!$D$5</f>
        <v>0.8</v>
      </c>
      <c r="K49" s="0" t="n">
        <f aca="false">INDEX(Pantry!$I$7:$I$68,MATCH($C49,Pantry!$A$7:$A$68,0))</f>
        <v>5</v>
      </c>
      <c r="L49" s="0" t="n">
        <f aca="false">IF($K49&gt;=$J49-0.0001,1,0)</f>
        <v>1</v>
      </c>
      <c r="M49" s="0" t="n">
        <f aca="false">MAX(0,$J49-$K49)</f>
        <v>0</v>
      </c>
    </row>
    <row r="50" customFormat="false" ht="15" hidden="false" customHeight="false" outlineLevel="0" collapsed="false">
      <c r="A50" s="0" t="s">
        <v>46</v>
      </c>
      <c r="B50" s="0" t="s">
        <v>47</v>
      </c>
      <c r="C50" s="0" t="s">
        <v>227</v>
      </c>
      <c r="D50" s="0" t="n">
        <v>2</v>
      </c>
      <c r="E50" s="0" t="s">
        <v>223</v>
      </c>
      <c r="F50" s="0" t="n">
        <v>5</v>
      </c>
      <c r="G50" s="0" t="n">
        <f aca="false">$D50/$F50</f>
        <v>0.4</v>
      </c>
      <c r="H50" s="0" t="n">
        <f aca="false">SUMIFS(Home!$E$28:$E$39,Home!$B$28:$B$39,$B50)</f>
        <v>0</v>
      </c>
      <c r="I50" s="0" t="n">
        <f aca="false">$G50*$H50</f>
        <v>0</v>
      </c>
      <c r="J50" s="0" t="n">
        <f aca="false">$G50*Home!$D$5</f>
        <v>1.6</v>
      </c>
      <c r="K50" s="0" t="n">
        <f aca="false">INDEX(Pantry!$I$7:$I$68,MATCH($C50,Pantry!$A$7:$A$68,0))</f>
        <v>8</v>
      </c>
      <c r="L50" s="0" t="n">
        <f aca="false">IF($K50&gt;=$J50-0.0001,1,0)</f>
        <v>1</v>
      </c>
      <c r="M50" s="0" t="n">
        <f aca="false">MAX(0,$J50-$K50)</f>
        <v>0</v>
      </c>
    </row>
    <row r="51" customFormat="false" ht="15" hidden="false" customHeight="false" outlineLevel="0" collapsed="false">
      <c r="A51" s="0" t="s">
        <v>46</v>
      </c>
      <c r="B51" s="0" t="s">
        <v>47</v>
      </c>
      <c r="C51" s="0" t="s">
        <v>228</v>
      </c>
      <c r="D51" s="0" t="n">
        <v>2</v>
      </c>
      <c r="E51" s="0" t="s">
        <v>223</v>
      </c>
      <c r="F51" s="0" t="n">
        <v>5</v>
      </c>
      <c r="G51" s="0" t="n">
        <f aca="false">$D51/$F51</f>
        <v>0.4</v>
      </c>
      <c r="H51" s="0" t="n">
        <f aca="false">SUMIFS(Home!$E$28:$E$39,Home!$B$28:$B$39,$B51)</f>
        <v>0</v>
      </c>
      <c r="I51" s="0" t="n">
        <f aca="false">$G51*$H51</f>
        <v>0</v>
      </c>
      <c r="J51" s="0" t="n">
        <f aca="false">$G51*Home!$D$5</f>
        <v>1.6</v>
      </c>
      <c r="K51" s="0" t="n">
        <f aca="false">INDEX(Pantry!$I$7:$I$68,MATCH($C51,Pantry!$A$7:$A$68,0))</f>
        <v>6</v>
      </c>
      <c r="L51" s="0" t="n">
        <f aca="false">IF($K51&gt;=$J51-0.0001,1,0)</f>
        <v>1</v>
      </c>
      <c r="M51" s="0" t="n">
        <f aca="false">MAX(0,$J51-$K51)</f>
        <v>0</v>
      </c>
    </row>
    <row r="52" customFormat="false" ht="15" hidden="false" customHeight="false" outlineLevel="0" collapsed="false">
      <c r="A52" s="0" t="s">
        <v>46</v>
      </c>
      <c r="B52" s="0" t="s">
        <v>47</v>
      </c>
      <c r="C52" s="0" t="s">
        <v>216</v>
      </c>
      <c r="D52" s="0" t="n">
        <v>0.75</v>
      </c>
      <c r="E52" s="0" t="s">
        <v>212</v>
      </c>
      <c r="F52" s="0" t="n">
        <v>5</v>
      </c>
      <c r="G52" s="0" t="n">
        <f aca="false">$D52/$F52</f>
        <v>0.15</v>
      </c>
      <c r="H52" s="0" t="n">
        <f aca="false">SUMIFS(Home!$E$28:$E$39,Home!$B$28:$B$39,$B52)</f>
        <v>0</v>
      </c>
      <c r="I52" s="0" t="n">
        <f aca="false">$G52*$H52</f>
        <v>0</v>
      </c>
      <c r="J52" s="0" t="n">
        <f aca="false">$G52*Home!$D$5</f>
        <v>0.6</v>
      </c>
      <c r="K52" s="0" t="n">
        <f aca="false">INDEX(Pantry!$I$7:$I$68,MATCH($C52,Pantry!$A$7:$A$68,0))</f>
        <v>5</v>
      </c>
      <c r="L52" s="0" t="n">
        <f aca="false">IF($K52&gt;=$J52-0.0001,1,0)</f>
        <v>1</v>
      </c>
      <c r="M52" s="0" t="n">
        <f aca="false">MAX(0,$J52-$K52)</f>
        <v>0</v>
      </c>
    </row>
    <row r="53" customFormat="false" ht="15" hidden="false" customHeight="false" outlineLevel="0" collapsed="false">
      <c r="A53" s="0" t="s">
        <v>46</v>
      </c>
      <c r="B53" s="0" t="s">
        <v>47</v>
      </c>
      <c r="C53" s="0" t="s">
        <v>222</v>
      </c>
      <c r="D53" s="0" t="n">
        <v>2</v>
      </c>
      <c r="E53" s="0" t="s">
        <v>223</v>
      </c>
      <c r="F53" s="0" t="n">
        <v>5</v>
      </c>
      <c r="G53" s="0" t="n">
        <f aca="false">$D53/$F53</f>
        <v>0.4</v>
      </c>
      <c r="H53" s="0" t="n">
        <f aca="false">SUMIFS(Home!$E$28:$E$39,Home!$B$28:$B$39,$B53)</f>
        <v>0</v>
      </c>
      <c r="I53" s="0" t="n">
        <f aca="false">$G53*$H53</f>
        <v>0</v>
      </c>
      <c r="J53" s="0" t="n">
        <f aca="false">$G53*Home!$D$5</f>
        <v>1.6</v>
      </c>
      <c r="K53" s="0" t="n">
        <f aca="false">INDEX(Pantry!$I$7:$I$68,MATCH($C53,Pantry!$A$7:$A$68,0))</f>
        <v>50</v>
      </c>
      <c r="L53" s="0" t="n">
        <f aca="false">IF($K53&gt;=$J53-0.0001,1,0)</f>
        <v>1</v>
      </c>
      <c r="M53" s="0" t="n">
        <f aca="false">MAX(0,$J53-$K53)</f>
        <v>0</v>
      </c>
    </row>
    <row r="54" customFormat="false" ht="15" hidden="false" customHeight="false" outlineLevel="0" collapsed="false">
      <c r="A54" s="0" t="s">
        <v>46</v>
      </c>
      <c r="B54" s="0" t="s">
        <v>47</v>
      </c>
      <c r="C54" s="0" t="s">
        <v>219</v>
      </c>
      <c r="D54" s="0" t="n">
        <v>0.5</v>
      </c>
      <c r="E54" s="0" t="s">
        <v>218</v>
      </c>
      <c r="F54" s="0" t="n">
        <v>5</v>
      </c>
      <c r="G54" s="0" t="n">
        <f aca="false">$D54/$F54</f>
        <v>0.1</v>
      </c>
      <c r="H54" s="0" t="n">
        <f aca="false">SUMIFS(Home!$E$28:$E$39,Home!$B$28:$B$39,$B54)</f>
        <v>0</v>
      </c>
      <c r="I54" s="0" t="n">
        <f aca="false">$G54*$H54</f>
        <v>0</v>
      </c>
      <c r="J54" s="0" t="n">
        <f aca="false">$G54*Home!$D$5</f>
        <v>0.4</v>
      </c>
      <c r="K54" s="0" t="n">
        <f aca="false">INDEX(Pantry!$I$7:$I$68,MATCH($C54,Pantry!$A$7:$A$68,0))</f>
        <v>2</v>
      </c>
      <c r="L54" s="0" t="n">
        <f aca="false">IF($K54&gt;=$J54-0.0001,1,0)</f>
        <v>1</v>
      </c>
      <c r="M54" s="0" t="n">
        <f aca="false">MAX(0,$J54-$K54)</f>
        <v>0</v>
      </c>
    </row>
    <row r="55" customFormat="false" ht="15" hidden="false" customHeight="false" outlineLevel="0" collapsed="false">
      <c r="A55" s="0" t="s">
        <v>46</v>
      </c>
      <c r="B55" s="0" t="s">
        <v>47</v>
      </c>
      <c r="C55" s="0" t="s">
        <v>239</v>
      </c>
      <c r="D55" s="0" t="n">
        <v>2</v>
      </c>
      <c r="E55" s="0" t="s">
        <v>214</v>
      </c>
      <c r="F55" s="0" t="n">
        <v>5</v>
      </c>
      <c r="G55" s="0" t="n">
        <f aca="false">$D55/$F55</f>
        <v>0.4</v>
      </c>
      <c r="H55" s="0" t="n">
        <f aca="false">SUMIFS(Home!$E$28:$E$39,Home!$B$28:$B$39,$B55)</f>
        <v>0</v>
      </c>
      <c r="I55" s="0" t="n">
        <f aca="false">$G55*$H55</f>
        <v>0</v>
      </c>
      <c r="J55" s="0" t="n">
        <f aca="false">$G55*Home!$D$5</f>
        <v>1.6</v>
      </c>
      <c r="K55" s="0" t="n">
        <f aca="false">INDEX(Pantry!$I$7:$I$68,MATCH($C55,Pantry!$A$7:$A$68,0))</f>
        <v>8</v>
      </c>
      <c r="L55" s="0" t="n">
        <f aca="false">IF($K55&gt;=$J55-0.0001,1,0)</f>
        <v>1</v>
      </c>
      <c r="M55" s="0" t="n">
        <f aca="false">MAX(0,$J55-$K55)</f>
        <v>0</v>
      </c>
    </row>
    <row r="56" customFormat="false" ht="15" hidden="false" customHeight="false" outlineLevel="0" collapsed="false">
      <c r="A56" s="0" t="s">
        <v>51</v>
      </c>
      <c r="B56" s="0" t="s">
        <v>52</v>
      </c>
      <c r="C56" s="0" t="s">
        <v>205</v>
      </c>
      <c r="D56" s="0" t="n">
        <v>1</v>
      </c>
      <c r="E56" s="0" t="s">
        <v>206</v>
      </c>
      <c r="F56" s="0" t="n">
        <v>6</v>
      </c>
      <c r="G56" s="0" t="n">
        <f aca="false">$D56/$F56</f>
        <v>0.166666666666667</v>
      </c>
      <c r="H56" s="0" t="n">
        <f aca="false">SUMIFS(Home!$E$28:$E$39,Home!$B$28:$B$39,$B56)</f>
        <v>0</v>
      </c>
      <c r="I56" s="0" t="n">
        <f aca="false">$G56*$H56</f>
        <v>0</v>
      </c>
      <c r="J56" s="0" t="n">
        <f aca="false">$G56*Home!$D$5</f>
        <v>0.666666666666667</v>
      </c>
      <c r="K56" s="0" t="n">
        <f aca="false">INDEX(Pantry!$I$7:$I$68,MATCH($C56,Pantry!$A$7:$A$68,0))</f>
        <v>1</v>
      </c>
      <c r="L56" s="0" t="n">
        <f aca="false">IF($K56&gt;=$J56-0.0001,1,0)</f>
        <v>1</v>
      </c>
      <c r="M56" s="0" t="n">
        <f aca="false">MAX(0,$J56-$K56)</f>
        <v>0</v>
      </c>
    </row>
    <row r="57" customFormat="false" ht="15" hidden="false" customHeight="false" outlineLevel="0" collapsed="false">
      <c r="A57" s="0" t="s">
        <v>51</v>
      </c>
      <c r="B57" s="0" t="s">
        <v>52</v>
      </c>
      <c r="C57" s="0" t="s">
        <v>208</v>
      </c>
      <c r="D57" s="0" t="n">
        <v>3</v>
      </c>
      <c r="E57" s="0" t="s">
        <v>209</v>
      </c>
      <c r="F57" s="0" t="n">
        <v>6</v>
      </c>
      <c r="G57" s="0" t="n">
        <f aca="false">$D57/$F57</f>
        <v>0.5</v>
      </c>
      <c r="H57" s="0" t="n">
        <f aca="false">SUMIFS(Home!$E$28:$E$39,Home!$B$28:$B$39,$B57)</f>
        <v>0</v>
      </c>
      <c r="I57" s="0" t="n">
        <f aca="false">$G57*$H57</f>
        <v>0</v>
      </c>
      <c r="J57" s="0" t="n">
        <f aca="false">$G57*Home!$D$5</f>
        <v>2</v>
      </c>
      <c r="K57" s="0" t="n">
        <f aca="false">INDEX(Pantry!$I$7:$I$68,MATCH($C57,Pantry!$A$7:$A$68,0))</f>
        <v>6</v>
      </c>
      <c r="L57" s="0" t="n">
        <f aca="false">IF($K57&gt;=$J57-0.0001,1,0)</f>
        <v>1</v>
      </c>
      <c r="M57" s="0" t="n">
        <f aca="false">MAX(0,$J57-$K57)</f>
        <v>0</v>
      </c>
    </row>
    <row r="58" customFormat="false" ht="15" hidden="false" customHeight="false" outlineLevel="0" collapsed="false">
      <c r="A58" s="0" t="s">
        <v>51</v>
      </c>
      <c r="B58" s="0" t="s">
        <v>52</v>
      </c>
      <c r="C58" s="0" t="s">
        <v>211</v>
      </c>
      <c r="D58" s="0" t="n">
        <v>1</v>
      </c>
      <c r="E58" s="0" t="s">
        <v>212</v>
      </c>
      <c r="F58" s="0" t="n">
        <v>6</v>
      </c>
      <c r="G58" s="0" t="n">
        <f aca="false">$D58/$F58</f>
        <v>0.166666666666667</v>
      </c>
      <c r="H58" s="0" t="n">
        <f aca="false">SUMIFS(Home!$E$28:$E$39,Home!$B$28:$B$39,$B58)</f>
        <v>0</v>
      </c>
      <c r="I58" s="0" t="n">
        <f aca="false">$G58*$H58</f>
        <v>0</v>
      </c>
      <c r="J58" s="0" t="n">
        <f aca="false">$G58*Home!$D$5</f>
        <v>0.666666666666667</v>
      </c>
      <c r="K58" s="0" t="n">
        <f aca="false">INDEX(Pantry!$I$7:$I$68,MATCH($C58,Pantry!$A$7:$A$68,0))</f>
        <v>2</v>
      </c>
      <c r="L58" s="0" t="n">
        <f aca="false">IF($K58&gt;=$J58-0.0001,1,0)</f>
        <v>1</v>
      </c>
      <c r="M58" s="0" t="n">
        <f aca="false">MAX(0,$J58-$K58)</f>
        <v>0</v>
      </c>
    </row>
    <row r="59" customFormat="false" ht="15" hidden="false" customHeight="false" outlineLevel="0" collapsed="false">
      <c r="A59" s="0" t="s">
        <v>51</v>
      </c>
      <c r="B59" s="0" t="s">
        <v>52</v>
      </c>
      <c r="C59" s="0" t="s">
        <v>240</v>
      </c>
      <c r="D59" s="0" t="n">
        <v>6</v>
      </c>
      <c r="E59" s="0" t="s">
        <v>214</v>
      </c>
      <c r="F59" s="0" t="n">
        <v>6</v>
      </c>
      <c r="G59" s="0" t="n">
        <f aca="false">$D59/$F59</f>
        <v>1</v>
      </c>
      <c r="H59" s="0" t="n">
        <f aca="false">SUMIFS(Home!$E$28:$E$39,Home!$B$28:$B$39,$B59)</f>
        <v>0</v>
      </c>
      <c r="I59" s="0" t="n">
        <f aca="false">$G59*$H59</f>
        <v>0</v>
      </c>
      <c r="J59" s="0" t="n">
        <f aca="false">$G59*Home!$D$5</f>
        <v>4</v>
      </c>
      <c r="K59" s="0" t="n">
        <f aca="false">INDEX(Pantry!$I$7:$I$68,MATCH($C59,Pantry!$A$7:$A$68,0))</f>
        <v>10</v>
      </c>
      <c r="L59" s="0" t="n">
        <f aca="false">IF($K59&gt;=$J59-0.0001,1,0)</f>
        <v>1</v>
      </c>
      <c r="M59" s="0" t="n">
        <f aca="false">MAX(0,$J59-$K59)</f>
        <v>0</v>
      </c>
    </row>
    <row r="60" customFormat="false" ht="15" hidden="false" customHeight="false" outlineLevel="0" collapsed="false">
      <c r="A60" s="0" t="s">
        <v>51</v>
      </c>
      <c r="B60" s="0" t="s">
        <v>52</v>
      </c>
      <c r="C60" s="0" t="s">
        <v>213</v>
      </c>
      <c r="D60" s="0" t="n">
        <v>2</v>
      </c>
      <c r="E60" s="0" t="s">
        <v>214</v>
      </c>
      <c r="F60" s="0" t="n">
        <v>6</v>
      </c>
      <c r="G60" s="0" t="n">
        <f aca="false">$D60/$F60</f>
        <v>0.333333333333333</v>
      </c>
      <c r="H60" s="0" t="n">
        <f aca="false">SUMIFS(Home!$E$28:$E$39,Home!$B$28:$B$39,$B60)</f>
        <v>0</v>
      </c>
      <c r="I60" s="0" t="n">
        <f aca="false">$G60*$H60</f>
        <v>0</v>
      </c>
      <c r="J60" s="0" t="n">
        <f aca="false">$G60*Home!$D$5</f>
        <v>1.33333333333333</v>
      </c>
      <c r="K60" s="0" t="n">
        <f aca="false">INDEX(Pantry!$I$7:$I$68,MATCH($C60,Pantry!$A$7:$A$68,0))</f>
        <v>1</v>
      </c>
      <c r="L60" s="0" t="n">
        <f aca="false">IF($K60&gt;=$J60-0.0001,1,0)</f>
        <v>0</v>
      </c>
      <c r="M60" s="0" t="n">
        <f aca="false">MAX(0,$J60-$K60)</f>
        <v>0.333333333333333</v>
      </c>
    </row>
    <row r="61" customFormat="false" ht="15" hidden="false" customHeight="false" outlineLevel="0" collapsed="false">
      <c r="A61" s="0" t="s">
        <v>51</v>
      </c>
      <c r="B61" s="0" t="s">
        <v>52</v>
      </c>
      <c r="C61" s="0" t="s">
        <v>226</v>
      </c>
      <c r="D61" s="0" t="n">
        <v>2</v>
      </c>
      <c r="E61" s="0" t="s">
        <v>214</v>
      </c>
      <c r="F61" s="0" t="n">
        <v>6</v>
      </c>
      <c r="G61" s="0" t="n">
        <f aca="false">$D61/$F61</f>
        <v>0.333333333333333</v>
      </c>
      <c r="H61" s="0" t="n">
        <f aca="false">SUMIFS(Home!$E$28:$E$39,Home!$B$28:$B$39,$B61)</f>
        <v>0</v>
      </c>
      <c r="I61" s="0" t="n">
        <f aca="false">$G61*$H61</f>
        <v>0</v>
      </c>
      <c r="J61" s="0" t="n">
        <f aca="false">$G61*Home!$D$5</f>
        <v>1.33333333333333</v>
      </c>
      <c r="K61" s="0" t="n">
        <f aca="false">INDEX(Pantry!$I$7:$I$68,MATCH($C61,Pantry!$A$7:$A$68,0))</f>
        <v>4</v>
      </c>
      <c r="L61" s="0" t="n">
        <f aca="false">IF($K61&gt;=$J61-0.0001,1,0)</f>
        <v>1</v>
      </c>
      <c r="M61" s="0" t="n">
        <f aca="false">MAX(0,$J61-$K61)</f>
        <v>0</v>
      </c>
    </row>
    <row r="62" customFormat="false" ht="15" hidden="false" customHeight="false" outlineLevel="0" collapsed="false">
      <c r="A62" s="0" t="s">
        <v>51</v>
      </c>
      <c r="B62" s="0" t="s">
        <v>52</v>
      </c>
      <c r="C62" s="0" t="s">
        <v>232</v>
      </c>
      <c r="D62" s="0" t="n">
        <v>2</v>
      </c>
      <c r="E62" s="0" t="s">
        <v>223</v>
      </c>
      <c r="F62" s="0" t="n">
        <v>6</v>
      </c>
      <c r="G62" s="0" t="n">
        <f aca="false">$D62/$F62</f>
        <v>0.333333333333333</v>
      </c>
      <c r="H62" s="0" t="n">
        <f aca="false">SUMIFS(Home!$E$28:$E$39,Home!$B$28:$B$39,$B62)</f>
        <v>0</v>
      </c>
      <c r="I62" s="0" t="n">
        <f aca="false">$G62*$H62</f>
        <v>0</v>
      </c>
      <c r="J62" s="0" t="n">
        <f aca="false">$G62*Home!$D$5</f>
        <v>1.33333333333333</v>
      </c>
      <c r="K62" s="0" t="n">
        <f aca="false">INDEX(Pantry!$I$7:$I$68,MATCH($C62,Pantry!$A$7:$A$68,0))</f>
        <v>20</v>
      </c>
      <c r="L62" s="0" t="n">
        <f aca="false">IF($K62&gt;=$J62-0.0001,1,0)</f>
        <v>1</v>
      </c>
      <c r="M62" s="0" t="n">
        <f aca="false">MAX(0,$J62-$K62)</f>
        <v>0</v>
      </c>
    </row>
    <row r="63" customFormat="false" ht="15" hidden="false" customHeight="false" outlineLevel="0" collapsed="false">
      <c r="A63" s="0" t="s">
        <v>51</v>
      </c>
      <c r="B63" s="0" t="s">
        <v>52</v>
      </c>
      <c r="C63" s="0" t="s">
        <v>234</v>
      </c>
      <c r="D63" s="0" t="n">
        <v>2</v>
      </c>
      <c r="E63" s="0" t="s">
        <v>223</v>
      </c>
      <c r="F63" s="0" t="n">
        <v>6</v>
      </c>
      <c r="G63" s="0" t="n">
        <f aca="false">$D63/$F63</f>
        <v>0.333333333333333</v>
      </c>
      <c r="H63" s="0" t="n">
        <f aca="false">SUMIFS(Home!$E$28:$E$39,Home!$B$28:$B$39,$B63)</f>
        <v>0</v>
      </c>
      <c r="I63" s="0" t="n">
        <f aca="false">$G63*$H63</f>
        <v>0</v>
      </c>
      <c r="J63" s="0" t="n">
        <f aca="false">$G63*Home!$D$5</f>
        <v>1.33333333333333</v>
      </c>
      <c r="K63" s="0" t="n">
        <f aca="false">INDEX(Pantry!$I$7:$I$68,MATCH($C63,Pantry!$A$7:$A$68,0))</f>
        <v>12</v>
      </c>
      <c r="L63" s="0" t="n">
        <f aca="false">IF($K63&gt;=$J63-0.0001,1,0)</f>
        <v>1</v>
      </c>
      <c r="M63" s="0" t="n">
        <f aca="false">MAX(0,$J63-$K63)</f>
        <v>0</v>
      </c>
    </row>
    <row r="64" customFormat="false" ht="15" hidden="false" customHeight="false" outlineLevel="0" collapsed="false">
      <c r="A64" s="0" t="s">
        <v>51</v>
      </c>
      <c r="B64" s="0" t="s">
        <v>52</v>
      </c>
      <c r="C64" s="0" t="s">
        <v>235</v>
      </c>
      <c r="D64" s="0" t="n">
        <v>1</v>
      </c>
      <c r="E64" s="0" t="s">
        <v>223</v>
      </c>
      <c r="F64" s="0" t="n">
        <v>6</v>
      </c>
      <c r="G64" s="0" t="n">
        <f aca="false">$D64/$F64</f>
        <v>0.166666666666667</v>
      </c>
      <c r="H64" s="0" t="n">
        <f aca="false">SUMIFS(Home!$E$28:$E$39,Home!$B$28:$B$39,$B64)</f>
        <v>0</v>
      </c>
      <c r="I64" s="0" t="n">
        <f aca="false">$G64*$H64</f>
        <v>0</v>
      </c>
      <c r="J64" s="0" t="n">
        <f aca="false">$G64*Home!$D$5</f>
        <v>0.666666666666667</v>
      </c>
      <c r="K64" s="0" t="n">
        <f aca="false">INDEX(Pantry!$I$7:$I$68,MATCH($C64,Pantry!$A$7:$A$68,0))</f>
        <v>10</v>
      </c>
      <c r="L64" s="0" t="n">
        <f aca="false">IF($K64&gt;=$J64-0.0001,1,0)</f>
        <v>1</v>
      </c>
      <c r="M64" s="0" t="n">
        <f aca="false">MAX(0,$J64-$K64)</f>
        <v>0</v>
      </c>
    </row>
    <row r="65" customFormat="false" ht="15" hidden="false" customHeight="false" outlineLevel="0" collapsed="false">
      <c r="A65" s="0" t="s">
        <v>51</v>
      </c>
      <c r="B65" s="0" t="s">
        <v>52</v>
      </c>
      <c r="C65" s="0" t="s">
        <v>224</v>
      </c>
      <c r="D65" s="0" t="n">
        <v>0.5</v>
      </c>
      <c r="E65" s="0" t="s">
        <v>212</v>
      </c>
      <c r="F65" s="0" t="n">
        <v>6</v>
      </c>
      <c r="G65" s="0" t="n">
        <f aca="false">$D65/$F65</f>
        <v>0.0833333333333333</v>
      </c>
      <c r="H65" s="0" t="n">
        <f aca="false">SUMIFS(Home!$E$28:$E$39,Home!$B$28:$B$39,$B65)</f>
        <v>0</v>
      </c>
      <c r="I65" s="0" t="n">
        <f aca="false">$G65*$H65</f>
        <v>0</v>
      </c>
      <c r="J65" s="0" t="n">
        <f aca="false">$G65*Home!$D$5</f>
        <v>0.333333333333333</v>
      </c>
      <c r="K65" s="0" t="n">
        <f aca="false">INDEX(Pantry!$I$7:$I$68,MATCH($C65,Pantry!$A$7:$A$68,0))</f>
        <v>0</v>
      </c>
      <c r="L65" s="0" t="n">
        <f aca="false">IF($K65&gt;=$J65-0.0001,1,0)</f>
        <v>0</v>
      </c>
      <c r="M65" s="0" t="n">
        <f aca="false">MAX(0,$J65-$K65)</f>
        <v>0.333333333333333</v>
      </c>
    </row>
    <row r="66" customFormat="false" ht="15" hidden="false" customHeight="false" outlineLevel="0" collapsed="false">
      <c r="A66" s="0" t="s">
        <v>51</v>
      </c>
      <c r="B66" s="0" t="s">
        <v>52</v>
      </c>
      <c r="C66" s="0" t="s">
        <v>225</v>
      </c>
      <c r="D66" s="0" t="n">
        <v>1</v>
      </c>
      <c r="E66" s="0" t="s">
        <v>223</v>
      </c>
      <c r="F66" s="0" t="n">
        <v>6</v>
      </c>
      <c r="G66" s="0" t="n">
        <f aca="false">$D66/$F66</f>
        <v>0.166666666666667</v>
      </c>
      <c r="H66" s="0" t="n">
        <f aca="false">SUMIFS(Home!$E$28:$E$39,Home!$B$28:$B$39,$B66)</f>
        <v>0</v>
      </c>
      <c r="I66" s="0" t="n">
        <f aca="false">$G66*$H66</f>
        <v>0</v>
      </c>
      <c r="J66" s="0" t="n">
        <f aca="false">$G66*Home!$D$5</f>
        <v>0.666666666666667</v>
      </c>
      <c r="K66" s="0" t="n">
        <f aca="false">INDEX(Pantry!$I$7:$I$68,MATCH($C66,Pantry!$A$7:$A$68,0))</f>
        <v>2</v>
      </c>
      <c r="L66" s="0" t="n">
        <f aca="false">IF($K66&gt;=$J66-0.0001,1,0)</f>
        <v>1</v>
      </c>
      <c r="M66" s="0" t="n">
        <f aca="false">MAX(0,$J66-$K66)</f>
        <v>0</v>
      </c>
    </row>
    <row r="67" customFormat="false" ht="15" hidden="false" customHeight="false" outlineLevel="0" collapsed="false">
      <c r="A67" s="0" t="s">
        <v>51</v>
      </c>
      <c r="B67" s="0" t="s">
        <v>52</v>
      </c>
      <c r="C67" s="0" t="s">
        <v>222</v>
      </c>
      <c r="D67" s="0" t="n">
        <v>2</v>
      </c>
      <c r="E67" s="0" t="s">
        <v>223</v>
      </c>
      <c r="F67" s="0" t="n">
        <v>6</v>
      </c>
      <c r="G67" s="0" t="n">
        <f aca="false">$D67/$F67</f>
        <v>0.333333333333333</v>
      </c>
      <c r="H67" s="0" t="n">
        <f aca="false">SUMIFS(Home!$E$28:$E$39,Home!$B$28:$B$39,$B67)</f>
        <v>0</v>
      </c>
      <c r="I67" s="0" t="n">
        <f aca="false">$G67*$H67</f>
        <v>0</v>
      </c>
      <c r="J67" s="0" t="n">
        <f aca="false">$G67*Home!$D$5</f>
        <v>1.33333333333333</v>
      </c>
      <c r="K67" s="0" t="n">
        <f aca="false">INDEX(Pantry!$I$7:$I$68,MATCH($C67,Pantry!$A$7:$A$68,0))</f>
        <v>50</v>
      </c>
      <c r="L67" s="0" t="n">
        <f aca="false">IF($K67&gt;=$J67-0.0001,1,0)</f>
        <v>1</v>
      </c>
      <c r="M67" s="0" t="n">
        <f aca="false">MAX(0,$J67-$K67)</f>
        <v>0</v>
      </c>
    </row>
    <row r="68" customFormat="false" ht="15" hidden="false" customHeight="false" outlineLevel="0" collapsed="false">
      <c r="A68" s="0" t="s">
        <v>55</v>
      </c>
      <c r="B68" s="0" t="s">
        <v>56</v>
      </c>
      <c r="C68" s="0" t="s">
        <v>241</v>
      </c>
      <c r="D68" s="0" t="n">
        <v>375</v>
      </c>
      <c r="E68" s="0" t="s">
        <v>231</v>
      </c>
      <c r="F68" s="0" t="n">
        <v>4</v>
      </c>
      <c r="G68" s="0" t="n">
        <f aca="false">$D68/$F68</f>
        <v>93.75</v>
      </c>
      <c r="H68" s="0" t="n">
        <f aca="false">SUMIFS(Home!$E$28:$E$39,Home!$B$28:$B$39,$B68)</f>
        <v>0</v>
      </c>
      <c r="I68" s="0" t="n">
        <f aca="false">$G68*$H68</f>
        <v>0</v>
      </c>
      <c r="J68" s="0" t="n">
        <f aca="false">$G68*Home!$D$5</f>
        <v>375</v>
      </c>
      <c r="K68" s="0" t="n">
        <f aca="false">INDEX(Pantry!$I$7:$I$68,MATCH($C68,Pantry!$A$7:$A$68,0))</f>
        <v>500</v>
      </c>
      <c r="L68" s="0" t="n">
        <f aca="false">IF($K68&gt;=$J68-0.0001,1,0)</f>
        <v>1</v>
      </c>
      <c r="M68" s="0" t="n">
        <f aca="false">MAX(0,$J68-$K68)</f>
        <v>0</v>
      </c>
    </row>
    <row r="69" customFormat="false" ht="15" hidden="false" customHeight="false" outlineLevel="0" collapsed="false">
      <c r="A69" s="0" t="s">
        <v>55</v>
      </c>
      <c r="B69" s="0" t="s">
        <v>56</v>
      </c>
      <c r="C69" s="0" t="s">
        <v>208</v>
      </c>
      <c r="D69" s="0" t="n">
        <v>1</v>
      </c>
      <c r="E69" s="0" t="s">
        <v>209</v>
      </c>
      <c r="F69" s="0" t="n">
        <v>4</v>
      </c>
      <c r="G69" s="0" t="n">
        <f aca="false">$D69/$F69</f>
        <v>0.25</v>
      </c>
      <c r="H69" s="0" t="n">
        <f aca="false">SUMIFS(Home!$E$28:$E$39,Home!$B$28:$B$39,$B69)</f>
        <v>0</v>
      </c>
      <c r="I69" s="0" t="n">
        <f aca="false">$G69*$H69</f>
        <v>0</v>
      </c>
      <c r="J69" s="0" t="n">
        <f aca="false">$G69*Home!$D$5</f>
        <v>1</v>
      </c>
      <c r="K69" s="0" t="n">
        <f aca="false">INDEX(Pantry!$I$7:$I$68,MATCH($C69,Pantry!$A$7:$A$68,0))</f>
        <v>6</v>
      </c>
      <c r="L69" s="0" t="n">
        <f aca="false">IF($K69&gt;=$J69-0.0001,1,0)</f>
        <v>1</v>
      </c>
      <c r="M69" s="0" t="n">
        <f aca="false">MAX(0,$J69-$K69)</f>
        <v>0</v>
      </c>
    </row>
    <row r="70" customFormat="false" ht="15" hidden="false" customHeight="false" outlineLevel="0" collapsed="false">
      <c r="A70" s="0" t="s">
        <v>55</v>
      </c>
      <c r="B70" s="0" t="s">
        <v>56</v>
      </c>
      <c r="C70" s="0" t="s">
        <v>210</v>
      </c>
      <c r="D70" s="0" t="n">
        <v>2</v>
      </c>
      <c r="E70" s="0" t="s">
        <v>209</v>
      </c>
      <c r="F70" s="0" t="n">
        <v>4</v>
      </c>
      <c r="G70" s="0" t="n">
        <f aca="false">$D70/$F70</f>
        <v>0.5</v>
      </c>
      <c r="H70" s="0" t="n">
        <f aca="false">SUMIFS(Home!$E$28:$E$39,Home!$B$28:$B$39,$B70)</f>
        <v>0</v>
      </c>
      <c r="I70" s="0" t="n">
        <f aca="false">$G70*$H70</f>
        <v>0</v>
      </c>
      <c r="J70" s="0" t="n">
        <f aca="false">$G70*Home!$D$5</f>
        <v>2</v>
      </c>
      <c r="K70" s="0" t="n">
        <f aca="false">INDEX(Pantry!$I$7:$I$68,MATCH($C70,Pantry!$A$7:$A$68,0))</f>
        <v>4</v>
      </c>
      <c r="L70" s="0" t="n">
        <f aca="false">IF($K70&gt;=$J70-0.0001,1,0)</f>
        <v>1</v>
      </c>
      <c r="M70" s="0" t="n">
        <f aca="false">MAX(0,$J70-$K70)</f>
        <v>0</v>
      </c>
    </row>
    <row r="71" customFormat="false" ht="15" hidden="false" customHeight="false" outlineLevel="0" collapsed="false">
      <c r="A71" s="0" t="s">
        <v>55</v>
      </c>
      <c r="B71" s="0" t="s">
        <v>56</v>
      </c>
      <c r="C71" s="0" t="s">
        <v>220</v>
      </c>
      <c r="D71" s="0" t="n">
        <v>3</v>
      </c>
      <c r="E71" s="0" t="s">
        <v>209</v>
      </c>
      <c r="F71" s="0" t="n">
        <v>4</v>
      </c>
      <c r="G71" s="0" t="n">
        <f aca="false">$D71/$F71</f>
        <v>0.75</v>
      </c>
      <c r="H71" s="0" t="n">
        <f aca="false">SUMIFS(Home!$E$28:$E$39,Home!$B$28:$B$39,$B71)</f>
        <v>0</v>
      </c>
      <c r="I71" s="0" t="n">
        <f aca="false">$G71*$H71</f>
        <v>0</v>
      </c>
      <c r="J71" s="0" t="n">
        <f aca="false">$G71*Home!$D$5</f>
        <v>3</v>
      </c>
      <c r="K71" s="0" t="n">
        <f aca="false">INDEX(Pantry!$I$7:$I$68,MATCH($C71,Pantry!$A$7:$A$68,0))</f>
        <v>10</v>
      </c>
      <c r="L71" s="0" t="n">
        <f aca="false">IF($K71&gt;=$J71-0.0001,1,0)</f>
        <v>1</v>
      </c>
      <c r="M71" s="0" t="n">
        <f aca="false">MAX(0,$J71-$K71)</f>
        <v>0</v>
      </c>
    </row>
    <row r="72" customFormat="false" ht="15" hidden="false" customHeight="false" outlineLevel="0" collapsed="false">
      <c r="A72" s="0" t="s">
        <v>55</v>
      </c>
      <c r="B72" s="0" t="s">
        <v>56</v>
      </c>
      <c r="C72" s="0" t="s">
        <v>213</v>
      </c>
      <c r="D72" s="0" t="n">
        <v>1</v>
      </c>
      <c r="E72" s="0" t="s">
        <v>214</v>
      </c>
      <c r="F72" s="0" t="n">
        <v>4</v>
      </c>
      <c r="G72" s="0" t="n">
        <f aca="false">$D72/$F72</f>
        <v>0.25</v>
      </c>
      <c r="H72" s="0" t="n">
        <f aca="false">SUMIFS(Home!$E$28:$E$39,Home!$B$28:$B$39,$B72)</f>
        <v>0</v>
      </c>
      <c r="I72" s="0" t="n">
        <f aca="false">$G72*$H72</f>
        <v>0</v>
      </c>
      <c r="J72" s="0" t="n">
        <f aca="false">$G72*Home!$D$5</f>
        <v>1</v>
      </c>
      <c r="K72" s="0" t="n">
        <f aca="false">INDEX(Pantry!$I$7:$I$68,MATCH($C72,Pantry!$A$7:$A$68,0))</f>
        <v>1</v>
      </c>
      <c r="L72" s="0" t="n">
        <f aca="false">IF($K72&gt;=$J72-0.0001,1,0)</f>
        <v>1</v>
      </c>
      <c r="M72" s="0" t="n">
        <f aca="false">MAX(0,$J72-$K72)</f>
        <v>0</v>
      </c>
    </row>
    <row r="73" customFormat="false" ht="15" hidden="false" customHeight="false" outlineLevel="0" collapsed="false">
      <c r="A73" s="0" t="s">
        <v>55</v>
      </c>
      <c r="B73" s="0" t="s">
        <v>56</v>
      </c>
      <c r="C73" s="0" t="s">
        <v>227</v>
      </c>
      <c r="D73" s="0" t="n">
        <v>2</v>
      </c>
      <c r="E73" s="0" t="s">
        <v>223</v>
      </c>
      <c r="F73" s="0" t="n">
        <v>4</v>
      </c>
      <c r="G73" s="0" t="n">
        <f aca="false">$D73/$F73</f>
        <v>0.5</v>
      </c>
      <c r="H73" s="0" t="n">
        <f aca="false">SUMIFS(Home!$E$28:$E$39,Home!$B$28:$B$39,$B73)</f>
        <v>0</v>
      </c>
      <c r="I73" s="0" t="n">
        <f aca="false">$G73*$H73</f>
        <v>0</v>
      </c>
      <c r="J73" s="0" t="n">
        <f aca="false">$G73*Home!$D$5</f>
        <v>2</v>
      </c>
      <c r="K73" s="0" t="n">
        <f aca="false">INDEX(Pantry!$I$7:$I$68,MATCH($C73,Pantry!$A$7:$A$68,0))</f>
        <v>8</v>
      </c>
      <c r="L73" s="0" t="n">
        <f aca="false">IF($K73&gt;=$J73-0.0001,1,0)</f>
        <v>1</v>
      </c>
      <c r="M73" s="0" t="n">
        <f aca="false">MAX(0,$J73-$K73)</f>
        <v>0</v>
      </c>
    </row>
    <row r="74" customFormat="false" ht="15" hidden="false" customHeight="false" outlineLevel="0" collapsed="false">
      <c r="A74" s="0" t="s">
        <v>55</v>
      </c>
      <c r="B74" s="0" t="s">
        <v>56</v>
      </c>
      <c r="C74" s="0" t="s">
        <v>232</v>
      </c>
      <c r="D74" s="0" t="n">
        <v>1.5</v>
      </c>
      <c r="E74" s="0" t="s">
        <v>223</v>
      </c>
      <c r="F74" s="0" t="n">
        <v>4</v>
      </c>
      <c r="G74" s="0" t="n">
        <f aca="false">$D74/$F74</f>
        <v>0.375</v>
      </c>
      <c r="H74" s="0" t="n">
        <f aca="false">SUMIFS(Home!$E$28:$E$39,Home!$B$28:$B$39,$B74)</f>
        <v>0</v>
      </c>
      <c r="I74" s="0" t="n">
        <f aca="false">$G74*$H74</f>
        <v>0</v>
      </c>
      <c r="J74" s="0" t="n">
        <f aca="false">$G74*Home!$D$5</f>
        <v>1.5</v>
      </c>
      <c r="K74" s="0" t="n">
        <f aca="false">INDEX(Pantry!$I$7:$I$68,MATCH($C74,Pantry!$A$7:$A$68,0))</f>
        <v>20</v>
      </c>
      <c r="L74" s="0" t="n">
        <f aca="false">IF($K74&gt;=$J74-0.0001,1,0)</f>
        <v>1</v>
      </c>
      <c r="M74" s="0" t="n">
        <f aca="false">MAX(0,$J74-$K74)</f>
        <v>0</v>
      </c>
    </row>
    <row r="75" customFormat="false" ht="15" hidden="false" customHeight="false" outlineLevel="0" collapsed="false">
      <c r="A75" s="0" t="s">
        <v>55</v>
      </c>
      <c r="B75" s="0" t="s">
        <v>56</v>
      </c>
      <c r="C75" s="0" t="s">
        <v>233</v>
      </c>
      <c r="D75" s="0" t="n">
        <v>0.5</v>
      </c>
      <c r="E75" s="0" t="s">
        <v>223</v>
      </c>
      <c r="F75" s="0" t="n">
        <v>4</v>
      </c>
      <c r="G75" s="0" t="n">
        <f aca="false">$D75/$F75</f>
        <v>0.125</v>
      </c>
      <c r="H75" s="0" t="n">
        <f aca="false">SUMIFS(Home!$E$28:$E$39,Home!$B$28:$B$39,$B75)</f>
        <v>0</v>
      </c>
      <c r="I75" s="0" t="n">
        <f aca="false">$G75*$H75</f>
        <v>0</v>
      </c>
      <c r="J75" s="0" t="n">
        <f aca="false">$G75*Home!$D$5</f>
        <v>0.5</v>
      </c>
      <c r="K75" s="0" t="n">
        <f aca="false">INDEX(Pantry!$I$7:$I$68,MATCH($C75,Pantry!$A$7:$A$68,0))</f>
        <v>15</v>
      </c>
      <c r="L75" s="0" t="n">
        <f aca="false">IF($K75&gt;=$J75-0.0001,1,0)</f>
        <v>1</v>
      </c>
      <c r="M75" s="0" t="n">
        <f aca="false">MAX(0,$J75-$K75)</f>
        <v>0</v>
      </c>
    </row>
    <row r="76" customFormat="false" ht="15" hidden="false" customHeight="false" outlineLevel="0" collapsed="false">
      <c r="A76" s="0" t="s">
        <v>55</v>
      </c>
      <c r="B76" s="0" t="s">
        <v>56</v>
      </c>
      <c r="C76" s="0" t="s">
        <v>216</v>
      </c>
      <c r="D76" s="0" t="n">
        <v>0.5</v>
      </c>
      <c r="E76" s="0" t="s">
        <v>212</v>
      </c>
      <c r="F76" s="0" t="n">
        <v>4</v>
      </c>
      <c r="G76" s="0" t="n">
        <f aca="false">$D76/$F76</f>
        <v>0.125</v>
      </c>
      <c r="H76" s="0" t="n">
        <f aca="false">SUMIFS(Home!$E$28:$E$39,Home!$B$28:$B$39,$B76)</f>
        <v>0</v>
      </c>
      <c r="I76" s="0" t="n">
        <f aca="false">$G76*$H76</f>
        <v>0</v>
      </c>
      <c r="J76" s="0" t="n">
        <f aca="false">$G76*Home!$D$5</f>
        <v>0.5</v>
      </c>
      <c r="K76" s="0" t="n">
        <f aca="false">INDEX(Pantry!$I$7:$I$68,MATCH($C76,Pantry!$A$7:$A$68,0))</f>
        <v>5</v>
      </c>
      <c r="L76" s="0" t="n">
        <f aca="false">IF($K76&gt;=$J76-0.0001,1,0)</f>
        <v>1</v>
      </c>
      <c r="M76" s="0" t="n">
        <f aca="false">MAX(0,$J76-$K76)</f>
        <v>0</v>
      </c>
    </row>
    <row r="77" customFormat="false" ht="15" hidden="false" customHeight="false" outlineLevel="0" collapsed="false">
      <c r="A77" s="0" t="s">
        <v>55</v>
      </c>
      <c r="B77" s="0" t="s">
        <v>56</v>
      </c>
      <c r="C77" s="0" t="s">
        <v>222</v>
      </c>
      <c r="D77" s="0" t="n">
        <v>1.5</v>
      </c>
      <c r="E77" s="0" t="s">
        <v>223</v>
      </c>
      <c r="F77" s="0" t="n">
        <v>4</v>
      </c>
      <c r="G77" s="0" t="n">
        <f aca="false">$D77/$F77</f>
        <v>0.375</v>
      </c>
      <c r="H77" s="0" t="n">
        <f aca="false">SUMIFS(Home!$E$28:$E$39,Home!$B$28:$B$39,$B77)</f>
        <v>0</v>
      </c>
      <c r="I77" s="0" t="n">
        <f aca="false">$G77*$H77</f>
        <v>0</v>
      </c>
      <c r="J77" s="0" t="n">
        <f aca="false">$G77*Home!$D$5</f>
        <v>1.5</v>
      </c>
      <c r="K77" s="0" t="n">
        <f aca="false">INDEX(Pantry!$I$7:$I$68,MATCH($C77,Pantry!$A$7:$A$68,0))</f>
        <v>50</v>
      </c>
      <c r="L77" s="0" t="n">
        <f aca="false">IF($K77&gt;=$J77-0.0001,1,0)</f>
        <v>1</v>
      </c>
      <c r="M77" s="0" t="n">
        <f aca="false">MAX(0,$J77-$K77)</f>
        <v>0</v>
      </c>
    </row>
    <row r="78" customFormat="false" ht="15" hidden="false" customHeight="false" outlineLevel="0" collapsed="false">
      <c r="A78" s="0" t="s">
        <v>55</v>
      </c>
      <c r="B78" s="0" t="s">
        <v>56</v>
      </c>
      <c r="C78" s="0" t="s">
        <v>219</v>
      </c>
      <c r="D78" s="0" t="n">
        <v>0.5</v>
      </c>
      <c r="E78" s="0" t="s">
        <v>218</v>
      </c>
      <c r="F78" s="0" t="n">
        <v>4</v>
      </c>
      <c r="G78" s="0" t="n">
        <f aca="false">$D78/$F78</f>
        <v>0.125</v>
      </c>
      <c r="H78" s="0" t="n">
        <f aca="false">SUMIFS(Home!$E$28:$E$39,Home!$B$28:$B$39,$B78)</f>
        <v>0</v>
      </c>
      <c r="I78" s="0" t="n">
        <f aca="false">$G78*$H78</f>
        <v>0</v>
      </c>
      <c r="J78" s="0" t="n">
        <f aca="false">$G78*Home!$D$5</f>
        <v>0.5</v>
      </c>
      <c r="K78" s="0" t="n">
        <f aca="false">INDEX(Pantry!$I$7:$I$68,MATCH($C78,Pantry!$A$7:$A$68,0))</f>
        <v>2</v>
      </c>
      <c r="L78" s="0" t="n">
        <f aca="false">IF($K78&gt;=$J78-0.0001,1,0)</f>
        <v>1</v>
      </c>
      <c r="M78" s="0" t="n">
        <f aca="false">MAX(0,$J78-$K78)</f>
        <v>0</v>
      </c>
    </row>
    <row r="79" customFormat="false" ht="15" hidden="false" customHeight="false" outlineLevel="0" collapsed="false">
      <c r="A79" s="0" t="s">
        <v>55</v>
      </c>
      <c r="B79" s="0" t="s">
        <v>56</v>
      </c>
      <c r="C79" s="0" t="s">
        <v>242</v>
      </c>
      <c r="D79" s="0" t="n">
        <v>2</v>
      </c>
      <c r="E79" s="0" t="s">
        <v>243</v>
      </c>
      <c r="F79" s="0" t="n">
        <v>4</v>
      </c>
      <c r="G79" s="0" t="n">
        <f aca="false">$D79/$F79</f>
        <v>0.5</v>
      </c>
      <c r="H79" s="0" t="n">
        <f aca="false">SUMIFS(Home!$E$28:$E$39,Home!$B$28:$B$39,$B79)</f>
        <v>0</v>
      </c>
      <c r="I79" s="0" t="n">
        <f aca="false">$G79*$H79</f>
        <v>0</v>
      </c>
      <c r="J79" s="0" t="n">
        <f aca="false">$G79*Home!$D$5</f>
        <v>2</v>
      </c>
      <c r="K79" s="0" t="n">
        <f aca="false">INDEX(Pantry!$I$7:$I$68,MATCH($C79,Pantry!$A$7:$A$68,0))</f>
        <v>4</v>
      </c>
      <c r="L79" s="0" t="n">
        <f aca="false">IF($K79&gt;=$J79-0.0001,1,0)</f>
        <v>1</v>
      </c>
      <c r="M79" s="0" t="n">
        <f aca="false">MAX(0,$J79-$K79)</f>
        <v>0</v>
      </c>
    </row>
    <row r="80" customFormat="false" ht="15" hidden="false" customHeight="false" outlineLevel="0" collapsed="false">
      <c r="A80" s="0" t="s">
        <v>59</v>
      </c>
      <c r="B80" s="0" t="s">
        <v>60</v>
      </c>
      <c r="C80" s="0" t="s">
        <v>244</v>
      </c>
      <c r="D80" s="0" t="n">
        <v>300</v>
      </c>
      <c r="E80" s="0" t="s">
        <v>231</v>
      </c>
      <c r="F80" s="0" t="n">
        <v>4</v>
      </c>
      <c r="G80" s="0" t="n">
        <f aca="false">$D80/$F80</f>
        <v>75</v>
      </c>
      <c r="H80" s="0" t="n">
        <f aca="false">SUMIFS(Home!$E$28:$E$39,Home!$B$28:$B$39,$B80)</f>
        <v>0</v>
      </c>
      <c r="I80" s="0" t="n">
        <f aca="false">$G80*$H80</f>
        <v>0</v>
      </c>
      <c r="J80" s="0" t="n">
        <f aca="false">$G80*Home!$D$5</f>
        <v>300</v>
      </c>
      <c r="K80" s="0" t="n">
        <f aca="false">INDEX(Pantry!$I$7:$I$68,MATCH($C80,Pantry!$A$7:$A$68,0))</f>
        <v>250</v>
      </c>
      <c r="L80" s="0" t="n">
        <f aca="false">IF($K80&gt;=$J80-0.0001,1,0)</f>
        <v>0</v>
      </c>
      <c r="M80" s="0" t="n">
        <f aca="false">MAX(0,$J80-$K80)</f>
        <v>50</v>
      </c>
    </row>
    <row r="81" customFormat="false" ht="15" hidden="false" customHeight="false" outlineLevel="0" collapsed="false">
      <c r="A81" s="0" t="s">
        <v>59</v>
      </c>
      <c r="B81" s="0" t="s">
        <v>60</v>
      </c>
      <c r="C81" s="0" t="s">
        <v>208</v>
      </c>
      <c r="D81" s="0" t="n">
        <v>1</v>
      </c>
      <c r="E81" s="0" t="s">
        <v>209</v>
      </c>
      <c r="F81" s="0" t="n">
        <v>4</v>
      </c>
      <c r="G81" s="0" t="n">
        <f aca="false">$D81/$F81</f>
        <v>0.25</v>
      </c>
      <c r="H81" s="0" t="n">
        <f aca="false">SUMIFS(Home!$E$28:$E$39,Home!$B$28:$B$39,$B81)</f>
        <v>0</v>
      </c>
      <c r="I81" s="0" t="n">
        <f aca="false">$G81*$H81</f>
        <v>0</v>
      </c>
      <c r="J81" s="0" t="n">
        <f aca="false">$G81*Home!$D$5</f>
        <v>1</v>
      </c>
      <c r="K81" s="0" t="n">
        <f aca="false">INDEX(Pantry!$I$7:$I$68,MATCH($C81,Pantry!$A$7:$A$68,0))</f>
        <v>6</v>
      </c>
      <c r="L81" s="0" t="n">
        <f aca="false">IF($K81&gt;=$J81-0.0001,1,0)</f>
        <v>1</v>
      </c>
      <c r="M81" s="0" t="n">
        <f aca="false">MAX(0,$J81-$K81)</f>
        <v>0</v>
      </c>
    </row>
    <row r="82" customFormat="false" ht="15" hidden="false" customHeight="false" outlineLevel="0" collapsed="false">
      <c r="A82" s="0" t="s">
        <v>59</v>
      </c>
      <c r="B82" s="0" t="s">
        <v>60</v>
      </c>
      <c r="C82" s="0" t="s">
        <v>210</v>
      </c>
      <c r="D82" s="0" t="n">
        <v>1</v>
      </c>
      <c r="E82" s="0" t="s">
        <v>209</v>
      </c>
      <c r="F82" s="0" t="n">
        <v>4</v>
      </c>
      <c r="G82" s="0" t="n">
        <f aca="false">$D82/$F82</f>
        <v>0.25</v>
      </c>
      <c r="H82" s="0" t="n">
        <f aca="false">SUMIFS(Home!$E$28:$E$39,Home!$B$28:$B$39,$B82)</f>
        <v>0</v>
      </c>
      <c r="I82" s="0" t="n">
        <f aca="false">$G82*$H82</f>
        <v>0</v>
      </c>
      <c r="J82" s="0" t="n">
        <f aca="false">$G82*Home!$D$5</f>
        <v>1</v>
      </c>
      <c r="K82" s="0" t="n">
        <f aca="false">INDEX(Pantry!$I$7:$I$68,MATCH($C82,Pantry!$A$7:$A$68,0))</f>
        <v>4</v>
      </c>
      <c r="L82" s="0" t="n">
        <f aca="false">IF($K82&gt;=$J82-0.0001,1,0)</f>
        <v>1</v>
      </c>
      <c r="M82" s="0" t="n">
        <f aca="false">MAX(0,$J82-$K82)</f>
        <v>0</v>
      </c>
    </row>
    <row r="83" customFormat="false" ht="15" hidden="false" customHeight="false" outlineLevel="0" collapsed="false">
      <c r="A83" s="0" t="s">
        <v>59</v>
      </c>
      <c r="B83" s="0" t="s">
        <v>60</v>
      </c>
      <c r="C83" s="0" t="s">
        <v>236</v>
      </c>
      <c r="D83" s="0" t="n">
        <v>2</v>
      </c>
      <c r="E83" s="0" t="s">
        <v>237</v>
      </c>
      <c r="F83" s="0" t="n">
        <v>4</v>
      </c>
      <c r="G83" s="0" t="n">
        <f aca="false">$D83/$F83</f>
        <v>0.5</v>
      </c>
      <c r="H83" s="0" t="n">
        <f aca="false">SUMIFS(Home!$E$28:$E$39,Home!$B$28:$B$39,$B83)</f>
        <v>0</v>
      </c>
      <c r="I83" s="0" t="n">
        <f aca="false">$G83*$H83</f>
        <v>0</v>
      </c>
      <c r="J83" s="0" t="n">
        <f aca="false">$G83*Home!$D$5</f>
        <v>2</v>
      </c>
      <c r="K83" s="0" t="n">
        <f aca="false">INDEX(Pantry!$I$7:$I$68,MATCH($C83,Pantry!$A$7:$A$68,0))</f>
        <v>3</v>
      </c>
      <c r="L83" s="0" t="n">
        <f aca="false">IF($K83&gt;=$J83-0.0001,1,0)</f>
        <v>1</v>
      </c>
      <c r="M83" s="0" t="n">
        <f aca="false">MAX(0,$J83-$K83)</f>
        <v>0</v>
      </c>
    </row>
    <row r="84" customFormat="false" ht="15" hidden="false" customHeight="false" outlineLevel="0" collapsed="false">
      <c r="A84" s="0" t="s">
        <v>59</v>
      </c>
      <c r="B84" s="0" t="s">
        <v>60</v>
      </c>
      <c r="C84" s="0" t="s">
        <v>220</v>
      </c>
      <c r="D84" s="0" t="n">
        <v>3</v>
      </c>
      <c r="E84" s="0" t="s">
        <v>209</v>
      </c>
      <c r="F84" s="0" t="n">
        <v>4</v>
      </c>
      <c r="G84" s="0" t="n">
        <f aca="false">$D84/$F84</f>
        <v>0.75</v>
      </c>
      <c r="H84" s="0" t="n">
        <f aca="false">SUMIFS(Home!$E$28:$E$39,Home!$B$28:$B$39,$B84)</f>
        <v>0</v>
      </c>
      <c r="I84" s="0" t="n">
        <f aca="false">$G84*$H84</f>
        <v>0</v>
      </c>
      <c r="J84" s="0" t="n">
        <f aca="false">$G84*Home!$D$5</f>
        <v>3</v>
      </c>
      <c r="K84" s="0" t="n">
        <f aca="false">INDEX(Pantry!$I$7:$I$68,MATCH($C84,Pantry!$A$7:$A$68,0))</f>
        <v>10</v>
      </c>
      <c r="L84" s="0" t="n">
        <f aca="false">IF($K84&gt;=$J84-0.0001,1,0)</f>
        <v>1</v>
      </c>
      <c r="M84" s="0" t="n">
        <f aca="false">MAX(0,$J84-$K84)</f>
        <v>0</v>
      </c>
    </row>
    <row r="85" customFormat="false" ht="15" hidden="false" customHeight="false" outlineLevel="0" collapsed="false">
      <c r="A85" s="0" t="s">
        <v>59</v>
      </c>
      <c r="B85" s="0" t="s">
        <v>60</v>
      </c>
      <c r="C85" s="0" t="s">
        <v>227</v>
      </c>
      <c r="D85" s="0" t="n">
        <v>2</v>
      </c>
      <c r="E85" s="0" t="s">
        <v>223</v>
      </c>
      <c r="F85" s="0" t="n">
        <v>4</v>
      </c>
      <c r="G85" s="0" t="n">
        <f aca="false">$D85/$F85</f>
        <v>0.5</v>
      </c>
      <c r="H85" s="0" t="n">
        <f aca="false">SUMIFS(Home!$E$28:$E$39,Home!$B$28:$B$39,$B85)</f>
        <v>0</v>
      </c>
      <c r="I85" s="0" t="n">
        <f aca="false">$G85*$H85</f>
        <v>0</v>
      </c>
      <c r="J85" s="0" t="n">
        <f aca="false">$G85*Home!$D$5</f>
        <v>2</v>
      </c>
      <c r="K85" s="0" t="n">
        <f aca="false">INDEX(Pantry!$I$7:$I$68,MATCH($C85,Pantry!$A$7:$A$68,0))</f>
        <v>8</v>
      </c>
      <c r="L85" s="0" t="n">
        <f aca="false">IF($K85&gt;=$J85-0.0001,1,0)</f>
        <v>1</v>
      </c>
      <c r="M85" s="0" t="n">
        <f aca="false">MAX(0,$J85-$K85)</f>
        <v>0</v>
      </c>
    </row>
    <row r="86" customFormat="false" ht="15" hidden="false" customHeight="false" outlineLevel="0" collapsed="false">
      <c r="A86" s="0" t="s">
        <v>59</v>
      </c>
      <c r="B86" s="0" t="s">
        <v>60</v>
      </c>
      <c r="C86" s="0" t="s">
        <v>232</v>
      </c>
      <c r="D86" s="0" t="n">
        <v>1.5</v>
      </c>
      <c r="E86" s="0" t="s">
        <v>223</v>
      </c>
      <c r="F86" s="0" t="n">
        <v>4</v>
      </c>
      <c r="G86" s="0" t="n">
        <f aca="false">$D86/$F86</f>
        <v>0.375</v>
      </c>
      <c r="H86" s="0" t="n">
        <f aca="false">SUMIFS(Home!$E$28:$E$39,Home!$B$28:$B$39,$B86)</f>
        <v>0</v>
      </c>
      <c r="I86" s="0" t="n">
        <f aca="false">$G86*$H86</f>
        <v>0</v>
      </c>
      <c r="J86" s="0" t="n">
        <f aca="false">$G86*Home!$D$5</f>
        <v>1.5</v>
      </c>
      <c r="K86" s="0" t="n">
        <f aca="false">INDEX(Pantry!$I$7:$I$68,MATCH($C86,Pantry!$A$7:$A$68,0))</f>
        <v>20</v>
      </c>
      <c r="L86" s="0" t="n">
        <f aca="false">IF($K86&gt;=$J86-0.0001,1,0)</f>
        <v>1</v>
      </c>
      <c r="M86" s="0" t="n">
        <f aca="false">MAX(0,$J86-$K86)</f>
        <v>0</v>
      </c>
    </row>
    <row r="87" customFormat="false" ht="15" hidden="false" customHeight="false" outlineLevel="0" collapsed="false">
      <c r="A87" s="0" t="s">
        <v>59</v>
      </c>
      <c r="B87" s="0" t="s">
        <v>60</v>
      </c>
      <c r="C87" s="0" t="s">
        <v>233</v>
      </c>
      <c r="D87" s="0" t="n">
        <v>0.5</v>
      </c>
      <c r="E87" s="0" t="s">
        <v>223</v>
      </c>
      <c r="F87" s="0" t="n">
        <v>4</v>
      </c>
      <c r="G87" s="0" t="n">
        <f aca="false">$D87/$F87</f>
        <v>0.125</v>
      </c>
      <c r="H87" s="0" t="n">
        <f aca="false">SUMIFS(Home!$E$28:$E$39,Home!$B$28:$B$39,$B87)</f>
        <v>0</v>
      </c>
      <c r="I87" s="0" t="n">
        <f aca="false">$G87*$H87</f>
        <v>0</v>
      </c>
      <c r="J87" s="0" t="n">
        <f aca="false">$G87*Home!$D$5</f>
        <v>0.5</v>
      </c>
      <c r="K87" s="0" t="n">
        <f aca="false">INDEX(Pantry!$I$7:$I$68,MATCH($C87,Pantry!$A$7:$A$68,0))</f>
        <v>15</v>
      </c>
      <c r="L87" s="0" t="n">
        <f aca="false">IF($K87&gt;=$J87-0.0001,1,0)</f>
        <v>1</v>
      </c>
      <c r="M87" s="0" t="n">
        <f aca="false">MAX(0,$J87-$K87)</f>
        <v>0</v>
      </c>
    </row>
    <row r="88" customFormat="false" ht="15" hidden="false" customHeight="false" outlineLevel="0" collapsed="false">
      <c r="A88" s="0" t="s">
        <v>59</v>
      </c>
      <c r="B88" s="0" t="s">
        <v>60</v>
      </c>
      <c r="C88" s="0" t="s">
        <v>216</v>
      </c>
      <c r="D88" s="0" t="n">
        <v>0.5</v>
      </c>
      <c r="E88" s="0" t="s">
        <v>212</v>
      </c>
      <c r="F88" s="0" t="n">
        <v>4</v>
      </c>
      <c r="G88" s="0" t="n">
        <f aca="false">$D88/$F88</f>
        <v>0.125</v>
      </c>
      <c r="H88" s="0" t="n">
        <f aca="false">SUMIFS(Home!$E$28:$E$39,Home!$B$28:$B$39,$B88)</f>
        <v>0</v>
      </c>
      <c r="I88" s="0" t="n">
        <f aca="false">$G88*$H88</f>
        <v>0</v>
      </c>
      <c r="J88" s="0" t="n">
        <f aca="false">$G88*Home!$D$5</f>
        <v>0.5</v>
      </c>
      <c r="K88" s="0" t="n">
        <f aca="false">INDEX(Pantry!$I$7:$I$68,MATCH($C88,Pantry!$A$7:$A$68,0))</f>
        <v>5</v>
      </c>
      <c r="L88" s="0" t="n">
        <f aca="false">IF($K88&gt;=$J88-0.0001,1,0)</f>
        <v>1</v>
      </c>
      <c r="M88" s="0" t="n">
        <f aca="false">MAX(0,$J88-$K88)</f>
        <v>0</v>
      </c>
    </row>
    <row r="89" customFormat="false" ht="15" hidden="false" customHeight="false" outlineLevel="0" collapsed="false">
      <c r="A89" s="0" t="s">
        <v>59</v>
      </c>
      <c r="B89" s="0" t="s">
        <v>60</v>
      </c>
      <c r="C89" s="0" t="s">
        <v>222</v>
      </c>
      <c r="D89" s="0" t="n">
        <v>1.5</v>
      </c>
      <c r="E89" s="0" t="s">
        <v>223</v>
      </c>
      <c r="F89" s="0" t="n">
        <v>4</v>
      </c>
      <c r="G89" s="0" t="n">
        <f aca="false">$D89/$F89</f>
        <v>0.375</v>
      </c>
      <c r="H89" s="0" t="n">
        <f aca="false">SUMIFS(Home!$E$28:$E$39,Home!$B$28:$B$39,$B89)</f>
        <v>0</v>
      </c>
      <c r="I89" s="0" t="n">
        <f aca="false">$G89*$H89</f>
        <v>0</v>
      </c>
      <c r="J89" s="0" t="n">
        <f aca="false">$G89*Home!$D$5</f>
        <v>1.5</v>
      </c>
      <c r="K89" s="0" t="n">
        <f aca="false">INDEX(Pantry!$I$7:$I$68,MATCH($C89,Pantry!$A$7:$A$68,0))</f>
        <v>50</v>
      </c>
      <c r="L89" s="0" t="n">
        <f aca="false">IF($K89&gt;=$J89-0.0001,1,0)</f>
        <v>1</v>
      </c>
      <c r="M89" s="0" t="n">
        <f aca="false">MAX(0,$J89-$K89)</f>
        <v>0</v>
      </c>
    </row>
    <row r="90" customFormat="false" ht="15" hidden="false" customHeight="false" outlineLevel="0" collapsed="false">
      <c r="A90" s="0" t="s">
        <v>59</v>
      </c>
      <c r="B90" s="0" t="s">
        <v>60</v>
      </c>
      <c r="C90" s="0" t="s">
        <v>219</v>
      </c>
      <c r="D90" s="0" t="n">
        <v>0.5</v>
      </c>
      <c r="E90" s="0" t="s">
        <v>218</v>
      </c>
      <c r="F90" s="0" t="n">
        <v>4</v>
      </c>
      <c r="G90" s="0" t="n">
        <f aca="false">$D90/$F90</f>
        <v>0.125</v>
      </c>
      <c r="H90" s="0" t="n">
        <f aca="false">SUMIFS(Home!$E$28:$E$39,Home!$B$28:$B$39,$B90)</f>
        <v>0</v>
      </c>
      <c r="I90" s="0" t="n">
        <f aca="false">$G90*$H90</f>
        <v>0</v>
      </c>
      <c r="J90" s="0" t="n">
        <f aca="false">$G90*Home!$D$5</f>
        <v>0.5</v>
      </c>
      <c r="K90" s="0" t="n">
        <f aca="false">INDEX(Pantry!$I$7:$I$68,MATCH($C90,Pantry!$A$7:$A$68,0))</f>
        <v>2</v>
      </c>
      <c r="L90" s="0" t="n">
        <f aca="false">IF($K90&gt;=$J90-0.0001,1,0)</f>
        <v>1</v>
      </c>
      <c r="M90" s="0" t="n">
        <f aca="false">MAX(0,$J90-$K90)</f>
        <v>0</v>
      </c>
    </row>
    <row r="91" customFormat="false" ht="15" hidden="false" customHeight="false" outlineLevel="0" collapsed="false">
      <c r="A91" s="0" t="s">
        <v>59</v>
      </c>
      <c r="B91" s="0" t="s">
        <v>60</v>
      </c>
      <c r="C91" s="0" t="s">
        <v>239</v>
      </c>
      <c r="D91" s="0" t="n">
        <v>2</v>
      </c>
      <c r="E91" s="0" t="s">
        <v>214</v>
      </c>
      <c r="F91" s="0" t="n">
        <v>4</v>
      </c>
      <c r="G91" s="0" t="n">
        <f aca="false">$D91/$F91</f>
        <v>0.5</v>
      </c>
      <c r="H91" s="0" t="n">
        <f aca="false">SUMIFS(Home!$E$28:$E$39,Home!$B$28:$B$39,$B91)</f>
        <v>0</v>
      </c>
      <c r="I91" s="0" t="n">
        <f aca="false">$G91*$H91</f>
        <v>0</v>
      </c>
      <c r="J91" s="0" t="n">
        <f aca="false">$G91*Home!$D$5</f>
        <v>2</v>
      </c>
      <c r="K91" s="0" t="n">
        <f aca="false">INDEX(Pantry!$I$7:$I$68,MATCH($C91,Pantry!$A$7:$A$68,0))</f>
        <v>8</v>
      </c>
      <c r="L91" s="0" t="n">
        <f aca="false">IF($K91&gt;=$J91-0.0001,1,0)</f>
        <v>1</v>
      </c>
      <c r="M91" s="0" t="n">
        <f aca="false">MAX(0,$J91-$K91)</f>
        <v>0</v>
      </c>
    </row>
    <row r="92" customFormat="false" ht="15" hidden="false" customHeight="false" outlineLevel="0" collapsed="false">
      <c r="A92" s="0" t="s">
        <v>63</v>
      </c>
      <c r="B92" s="0" t="s">
        <v>64</v>
      </c>
      <c r="C92" s="0" t="s">
        <v>245</v>
      </c>
      <c r="D92" s="0" t="n">
        <v>300</v>
      </c>
      <c r="E92" s="0" t="s">
        <v>231</v>
      </c>
      <c r="F92" s="0" t="n">
        <v>4</v>
      </c>
      <c r="G92" s="0" t="n">
        <f aca="false">$D92/$F92</f>
        <v>75</v>
      </c>
      <c r="H92" s="0" t="n">
        <f aca="false">SUMIFS(Home!$E$28:$E$39,Home!$B$28:$B$39,$B92)</f>
        <v>0</v>
      </c>
      <c r="I92" s="0" t="n">
        <f aca="false">$G92*$H92</f>
        <v>0</v>
      </c>
      <c r="J92" s="0" t="n">
        <f aca="false">$G92*Home!$D$5</f>
        <v>300</v>
      </c>
      <c r="K92" s="0" t="n">
        <f aca="false">INDEX(Pantry!$I$7:$I$68,MATCH($C92,Pantry!$A$7:$A$68,0))</f>
        <v>0</v>
      </c>
      <c r="L92" s="0" t="n">
        <f aca="false">IF($K92&gt;=$J92-0.0001,1,0)</f>
        <v>0</v>
      </c>
      <c r="M92" s="0" t="n">
        <f aca="false">MAX(0,$J92-$K92)</f>
        <v>300</v>
      </c>
    </row>
    <row r="93" customFormat="false" ht="15" hidden="false" customHeight="false" outlineLevel="0" collapsed="false">
      <c r="A93" s="0" t="s">
        <v>63</v>
      </c>
      <c r="B93" s="0" t="s">
        <v>64</v>
      </c>
      <c r="C93" s="0" t="s">
        <v>208</v>
      </c>
      <c r="D93" s="0" t="n">
        <v>1</v>
      </c>
      <c r="E93" s="0" t="s">
        <v>209</v>
      </c>
      <c r="F93" s="0" t="n">
        <v>4</v>
      </c>
      <c r="G93" s="0" t="n">
        <f aca="false">$D93/$F93</f>
        <v>0.25</v>
      </c>
      <c r="H93" s="0" t="n">
        <f aca="false">SUMIFS(Home!$E$28:$E$39,Home!$B$28:$B$39,$B93)</f>
        <v>0</v>
      </c>
      <c r="I93" s="0" t="n">
        <f aca="false">$G93*$H93</f>
        <v>0</v>
      </c>
      <c r="J93" s="0" t="n">
        <f aca="false">$G93*Home!$D$5</f>
        <v>1</v>
      </c>
      <c r="K93" s="0" t="n">
        <f aca="false">INDEX(Pantry!$I$7:$I$68,MATCH($C93,Pantry!$A$7:$A$68,0))</f>
        <v>6</v>
      </c>
      <c r="L93" s="0" t="n">
        <f aca="false">IF($K93&gt;=$J93-0.0001,1,0)</f>
        <v>1</v>
      </c>
      <c r="M93" s="0" t="n">
        <f aca="false">MAX(0,$J93-$K93)</f>
        <v>0</v>
      </c>
    </row>
    <row r="94" customFormat="false" ht="15" hidden="false" customHeight="false" outlineLevel="0" collapsed="false">
      <c r="A94" s="0" t="s">
        <v>63</v>
      </c>
      <c r="B94" s="0" t="s">
        <v>64</v>
      </c>
      <c r="C94" s="0" t="s">
        <v>210</v>
      </c>
      <c r="D94" s="0" t="n">
        <v>2</v>
      </c>
      <c r="E94" s="0" t="s">
        <v>209</v>
      </c>
      <c r="F94" s="0" t="n">
        <v>4</v>
      </c>
      <c r="G94" s="0" t="n">
        <f aca="false">$D94/$F94</f>
        <v>0.5</v>
      </c>
      <c r="H94" s="0" t="n">
        <f aca="false">SUMIFS(Home!$E$28:$E$39,Home!$B$28:$B$39,$B94)</f>
        <v>0</v>
      </c>
      <c r="I94" s="0" t="n">
        <f aca="false">$G94*$H94</f>
        <v>0</v>
      </c>
      <c r="J94" s="0" t="n">
        <f aca="false">$G94*Home!$D$5</f>
        <v>2</v>
      </c>
      <c r="K94" s="0" t="n">
        <f aca="false">INDEX(Pantry!$I$7:$I$68,MATCH($C94,Pantry!$A$7:$A$68,0))</f>
        <v>4</v>
      </c>
      <c r="L94" s="0" t="n">
        <f aca="false">IF($K94&gt;=$J94-0.0001,1,0)</f>
        <v>1</v>
      </c>
      <c r="M94" s="0" t="n">
        <f aca="false">MAX(0,$J94-$K94)</f>
        <v>0</v>
      </c>
    </row>
    <row r="95" customFormat="false" ht="15" hidden="false" customHeight="false" outlineLevel="0" collapsed="false">
      <c r="A95" s="0" t="s">
        <v>63</v>
      </c>
      <c r="B95" s="0" t="s">
        <v>64</v>
      </c>
      <c r="C95" s="0" t="s">
        <v>213</v>
      </c>
      <c r="D95" s="0" t="n">
        <v>1</v>
      </c>
      <c r="E95" s="0" t="s">
        <v>214</v>
      </c>
      <c r="F95" s="0" t="n">
        <v>4</v>
      </c>
      <c r="G95" s="0" t="n">
        <f aca="false">$D95/$F95</f>
        <v>0.25</v>
      </c>
      <c r="H95" s="0" t="n">
        <f aca="false">SUMIFS(Home!$E$28:$E$39,Home!$B$28:$B$39,$B95)</f>
        <v>0</v>
      </c>
      <c r="I95" s="0" t="n">
        <f aca="false">$G95*$H95</f>
        <v>0</v>
      </c>
      <c r="J95" s="0" t="n">
        <f aca="false">$G95*Home!$D$5</f>
        <v>1</v>
      </c>
      <c r="K95" s="0" t="n">
        <f aca="false">INDEX(Pantry!$I$7:$I$68,MATCH($C95,Pantry!$A$7:$A$68,0))</f>
        <v>1</v>
      </c>
      <c r="L95" s="0" t="n">
        <f aca="false">IF($K95&gt;=$J95-0.0001,1,0)</f>
        <v>1</v>
      </c>
      <c r="M95" s="0" t="n">
        <f aca="false">MAX(0,$J95-$K95)</f>
        <v>0</v>
      </c>
    </row>
    <row r="96" customFormat="false" ht="15" hidden="false" customHeight="false" outlineLevel="0" collapsed="false">
      <c r="A96" s="0" t="s">
        <v>63</v>
      </c>
      <c r="B96" s="0" t="s">
        <v>64</v>
      </c>
      <c r="C96" s="0" t="s">
        <v>227</v>
      </c>
      <c r="D96" s="0" t="n">
        <v>1.5</v>
      </c>
      <c r="E96" s="0" t="s">
        <v>223</v>
      </c>
      <c r="F96" s="0" t="n">
        <v>4</v>
      </c>
      <c r="G96" s="0" t="n">
        <f aca="false">$D96/$F96</f>
        <v>0.375</v>
      </c>
      <c r="H96" s="0" t="n">
        <f aca="false">SUMIFS(Home!$E$28:$E$39,Home!$B$28:$B$39,$B96)</f>
        <v>0</v>
      </c>
      <c r="I96" s="0" t="n">
        <f aca="false">$G96*$H96</f>
        <v>0</v>
      </c>
      <c r="J96" s="0" t="n">
        <f aca="false">$G96*Home!$D$5</f>
        <v>1.5</v>
      </c>
      <c r="K96" s="0" t="n">
        <f aca="false">INDEX(Pantry!$I$7:$I$68,MATCH($C96,Pantry!$A$7:$A$68,0))</f>
        <v>8</v>
      </c>
      <c r="L96" s="0" t="n">
        <f aca="false">IF($K96&gt;=$J96-0.0001,1,0)</f>
        <v>1</v>
      </c>
      <c r="M96" s="0" t="n">
        <f aca="false">MAX(0,$J96-$K96)</f>
        <v>0</v>
      </c>
    </row>
    <row r="97" customFormat="false" ht="15" hidden="false" customHeight="false" outlineLevel="0" collapsed="false">
      <c r="A97" s="0" t="s">
        <v>63</v>
      </c>
      <c r="B97" s="0" t="s">
        <v>64</v>
      </c>
      <c r="C97" s="0" t="s">
        <v>232</v>
      </c>
      <c r="D97" s="0" t="n">
        <v>1.5</v>
      </c>
      <c r="E97" s="0" t="s">
        <v>223</v>
      </c>
      <c r="F97" s="0" t="n">
        <v>4</v>
      </c>
      <c r="G97" s="0" t="n">
        <f aca="false">$D97/$F97</f>
        <v>0.375</v>
      </c>
      <c r="H97" s="0" t="n">
        <f aca="false">SUMIFS(Home!$E$28:$E$39,Home!$B$28:$B$39,$B97)</f>
        <v>0</v>
      </c>
      <c r="I97" s="0" t="n">
        <f aca="false">$G97*$H97</f>
        <v>0</v>
      </c>
      <c r="J97" s="0" t="n">
        <f aca="false">$G97*Home!$D$5</f>
        <v>1.5</v>
      </c>
      <c r="K97" s="0" t="n">
        <f aca="false">INDEX(Pantry!$I$7:$I$68,MATCH($C97,Pantry!$A$7:$A$68,0))</f>
        <v>20</v>
      </c>
      <c r="L97" s="0" t="n">
        <f aca="false">IF($K97&gt;=$J97-0.0001,1,0)</f>
        <v>1</v>
      </c>
      <c r="M97" s="0" t="n">
        <f aca="false">MAX(0,$J97-$K97)</f>
        <v>0</v>
      </c>
    </row>
    <row r="98" customFormat="false" ht="15" hidden="false" customHeight="false" outlineLevel="0" collapsed="false">
      <c r="A98" s="0" t="s">
        <v>63</v>
      </c>
      <c r="B98" s="0" t="s">
        <v>64</v>
      </c>
      <c r="C98" s="0" t="s">
        <v>233</v>
      </c>
      <c r="D98" s="0" t="n">
        <v>0.75</v>
      </c>
      <c r="E98" s="0" t="s">
        <v>223</v>
      </c>
      <c r="F98" s="0" t="n">
        <v>4</v>
      </c>
      <c r="G98" s="0" t="n">
        <f aca="false">$D98/$F98</f>
        <v>0.1875</v>
      </c>
      <c r="H98" s="0" t="n">
        <f aca="false">SUMIFS(Home!$E$28:$E$39,Home!$B$28:$B$39,$B98)</f>
        <v>0</v>
      </c>
      <c r="I98" s="0" t="n">
        <f aca="false">$G98*$H98</f>
        <v>0</v>
      </c>
      <c r="J98" s="0" t="n">
        <f aca="false">$G98*Home!$D$5</f>
        <v>0.75</v>
      </c>
      <c r="K98" s="0" t="n">
        <f aca="false">INDEX(Pantry!$I$7:$I$68,MATCH($C98,Pantry!$A$7:$A$68,0))</f>
        <v>15</v>
      </c>
      <c r="L98" s="0" t="n">
        <f aca="false">IF($K98&gt;=$J98-0.0001,1,0)</f>
        <v>1</v>
      </c>
      <c r="M98" s="0" t="n">
        <f aca="false">MAX(0,$J98-$K98)</f>
        <v>0</v>
      </c>
    </row>
    <row r="99" customFormat="false" ht="15" hidden="false" customHeight="false" outlineLevel="0" collapsed="false">
      <c r="A99" s="0" t="s">
        <v>63</v>
      </c>
      <c r="B99" s="0" t="s">
        <v>64</v>
      </c>
      <c r="C99" s="0" t="s">
        <v>216</v>
      </c>
      <c r="D99" s="0" t="n">
        <v>0.5</v>
      </c>
      <c r="E99" s="0" t="s">
        <v>212</v>
      </c>
      <c r="F99" s="0" t="n">
        <v>4</v>
      </c>
      <c r="G99" s="0" t="n">
        <f aca="false">$D99/$F99</f>
        <v>0.125</v>
      </c>
      <c r="H99" s="0" t="n">
        <f aca="false">SUMIFS(Home!$E$28:$E$39,Home!$B$28:$B$39,$B99)</f>
        <v>0</v>
      </c>
      <c r="I99" s="0" t="n">
        <f aca="false">$G99*$H99</f>
        <v>0</v>
      </c>
      <c r="J99" s="0" t="n">
        <f aca="false">$G99*Home!$D$5</f>
        <v>0.5</v>
      </c>
      <c r="K99" s="0" t="n">
        <f aca="false">INDEX(Pantry!$I$7:$I$68,MATCH($C99,Pantry!$A$7:$A$68,0))</f>
        <v>5</v>
      </c>
      <c r="L99" s="0" t="n">
        <f aca="false">IF($K99&gt;=$J99-0.0001,1,0)</f>
        <v>1</v>
      </c>
      <c r="M99" s="0" t="n">
        <f aca="false">MAX(0,$J99-$K99)</f>
        <v>0</v>
      </c>
    </row>
    <row r="100" customFormat="false" ht="15" hidden="false" customHeight="false" outlineLevel="0" collapsed="false">
      <c r="A100" s="0" t="s">
        <v>63</v>
      </c>
      <c r="B100" s="0" t="s">
        <v>64</v>
      </c>
      <c r="C100" s="0" t="s">
        <v>222</v>
      </c>
      <c r="D100" s="0" t="n">
        <v>1.5</v>
      </c>
      <c r="E100" s="0" t="s">
        <v>223</v>
      </c>
      <c r="F100" s="0" t="n">
        <v>4</v>
      </c>
      <c r="G100" s="0" t="n">
        <f aca="false">$D100/$F100</f>
        <v>0.375</v>
      </c>
      <c r="H100" s="0" t="n">
        <f aca="false">SUMIFS(Home!$E$28:$E$39,Home!$B$28:$B$39,$B100)</f>
        <v>0</v>
      </c>
      <c r="I100" s="0" t="n">
        <f aca="false">$G100*$H100</f>
        <v>0</v>
      </c>
      <c r="J100" s="0" t="n">
        <f aca="false">$G100*Home!$D$5</f>
        <v>1.5</v>
      </c>
      <c r="K100" s="0" t="n">
        <f aca="false">INDEX(Pantry!$I$7:$I$68,MATCH($C100,Pantry!$A$7:$A$68,0))</f>
        <v>50</v>
      </c>
      <c r="L100" s="0" t="n">
        <f aca="false">IF($K100&gt;=$J100-0.0001,1,0)</f>
        <v>1</v>
      </c>
      <c r="M100" s="0" t="n">
        <f aca="false">MAX(0,$J100-$K100)</f>
        <v>0</v>
      </c>
    </row>
    <row r="101" customFormat="false" ht="15" hidden="false" customHeight="false" outlineLevel="0" collapsed="false">
      <c r="A101" s="0" t="s">
        <v>63</v>
      </c>
      <c r="B101" s="0" t="s">
        <v>64</v>
      </c>
      <c r="C101" s="0" t="s">
        <v>242</v>
      </c>
      <c r="D101" s="0" t="n">
        <v>2</v>
      </c>
      <c r="E101" s="0" t="s">
        <v>243</v>
      </c>
      <c r="F101" s="0" t="n">
        <v>4</v>
      </c>
      <c r="G101" s="0" t="n">
        <f aca="false">$D101/$F101</f>
        <v>0.5</v>
      </c>
      <c r="H101" s="0" t="n">
        <f aca="false">SUMIFS(Home!$E$28:$E$39,Home!$B$28:$B$39,$B101)</f>
        <v>0</v>
      </c>
      <c r="I101" s="0" t="n">
        <f aca="false">$G101*$H101</f>
        <v>0</v>
      </c>
      <c r="J101" s="0" t="n">
        <f aca="false">$G101*Home!$D$5</f>
        <v>2</v>
      </c>
      <c r="K101" s="0" t="n">
        <f aca="false">INDEX(Pantry!$I$7:$I$68,MATCH($C101,Pantry!$A$7:$A$68,0))</f>
        <v>4</v>
      </c>
      <c r="L101" s="0" t="n">
        <f aca="false">IF($K101&gt;=$J101-0.0001,1,0)</f>
        <v>1</v>
      </c>
      <c r="M101" s="0" t="n">
        <f aca="false">MAX(0,$J101-$K101)</f>
        <v>0</v>
      </c>
    </row>
    <row r="102" customFormat="false" ht="15" hidden="false" customHeight="false" outlineLevel="0" collapsed="false">
      <c r="A102" s="0" t="s">
        <v>63</v>
      </c>
      <c r="B102" s="0" t="s">
        <v>64</v>
      </c>
      <c r="C102" s="0" t="s">
        <v>220</v>
      </c>
      <c r="D102" s="0" t="n">
        <v>2</v>
      </c>
      <c r="E102" s="0" t="s">
        <v>209</v>
      </c>
      <c r="F102" s="0" t="n">
        <v>4</v>
      </c>
      <c r="G102" s="0" t="n">
        <f aca="false">$D102/$F102</f>
        <v>0.5</v>
      </c>
      <c r="H102" s="0" t="n">
        <f aca="false">SUMIFS(Home!$E$28:$E$39,Home!$B$28:$B$39,$B102)</f>
        <v>0</v>
      </c>
      <c r="I102" s="0" t="n">
        <f aca="false">$G102*$H102</f>
        <v>0</v>
      </c>
      <c r="J102" s="0" t="n">
        <f aca="false">$G102*Home!$D$5</f>
        <v>2</v>
      </c>
      <c r="K102" s="0" t="n">
        <f aca="false">INDEX(Pantry!$I$7:$I$68,MATCH($C102,Pantry!$A$7:$A$68,0))</f>
        <v>10</v>
      </c>
      <c r="L102" s="0" t="n">
        <f aca="false">IF($K102&gt;=$J102-0.0001,1,0)</f>
        <v>1</v>
      </c>
      <c r="M102" s="0" t="n">
        <f aca="false">MAX(0,$J102-$K102)</f>
        <v>0</v>
      </c>
    </row>
    <row r="103" customFormat="false" ht="15" hidden="false" customHeight="false" outlineLevel="0" collapsed="false">
      <c r="A103" s="0" t="s">
        <v>63</v>
      </c>
      <c r="B103" s="0" t="s">
        <v>64</v>
      </c>
      <c r="C103" s="0" t="s">
        <v>221</v>
      </c>
      <c r="D103" s="0" t="n">
        <v>1</v>
      </c>
      <c r="E103" s="0" t="s">
        <v>209</v>
      </c>
      <c r="F103" s="0" t="n">
        <v>4</v>
      </c>
      <c r="G103" s="0" t="n">
        <f aca="false">$D103/$F103</f>
        <v>0.25</v>
      </c>
      <c r="H103" s="0" t="n">
        <f aca="false">SUMIFS(Home!$E$28:$E$39,Home!$B$28:$B$39,$B103)</f>
        <v>0</v>
      </c>
      <c r="I103" s="0" t="n">
        <f aca="false">$G103*$H103</f>
        <v>0</v>
      </c>
      <c r="J103" s="0" t="n">
        <f aca="false">$G103*Home!$D$5</f>
        <v>1</v>
      </c>
      <c r="K103" s="0" t="n">
        <f aca="false">INDEX(Pantry!$I$7:$I$68,MATCH($C103,Pantry!$A$7:$A$68,0))</f>
        <v>1</v>
      </c>
      <c r="L103" s="0" t="n">
        <f aca="false">IF($K103&gt;=$J103-0.0001,1,0)</f>
        <v>1</v>
      </c>
      <c r="M103" s="0" t="n">
        <f aca="false">MAX(0,$J103-$K103)</f>
        <v>0</v>
      </c>
    </row>
    <row r="104" customFormat="false" ht="15" hidden="false" customHeight="false" outlineLevel="0" collapsed="false">
      <c r="A104" s="0" t="s">
        <v>67</v>
      </c>
      <c r="B104" s="0" t="s">
        <v>68</v>
      </c>
      <c r="C104" s="0" t="s">
        <v>246</v>
      </c>
      <c r="D104" s="0" t="n">
        <v>0.75</v>
      </c>
      <c r="E104" s="0" t="s">
        <v>206</v>
      </c>
      <c r="F104" s="0" t="n">
        <v>5</v>
      </c>
      <c r="G104" s="0" t="n">
        <f aca="false">$D104/$F104</f>
        <v>0.15</v>
      </c>
      <c r="H104" s="0" t="n">
        <f aca="false">SUMIFS(Home!$E$28:$E$39,Home!$B$28:$B$39,$B104)</f>
        <v>0</v>
      </c>
      <c r="I104" s="0" t="n">
        <f aca="false">$G104*$H104</f>
        <v>0</v>
      </c>
      <c r="J104" s="0" t="n">
        <f aca="false">$G104*Home!$D$5</f>
        <v>0.6</v>
      </c>
      <c r="K104" s="0" t="n">
        <f aca="false">INDEX(Pantry!$I$7:$I$68,MATCH($C104,Pantry!$A$7:$A$68,0))</f>
        <v>0</v>
      </c>
      <c r="L104" s="0" t="n">
        <f aca="false">IF($K104&gt;=$J104-0.0001,1,0)</f>
        <v>0</v>
      </c>
      <c r="M104" s="0" t="n">
        <f aca="false">MAX(0,$J104-$K104)</f>
        <v>0.6</v>
      </c>
    </row>
    <row r="105" customFormat="false" ht="15" hidden="false" customHeight="false" outlineLevel="0" collapsed="false">
      <c r="A105" s="0" t="s">
        <v>67</v>
      </c>
      <c r="B105" s="0" t="s">
        <v>68</v>
      </c>
      <c r="C105" s="0" t="s">
        <v>247</v>
      </c>
      <c r="D105" s="0" t="n">
        <v>4</v>
      </c>
      <c r="E105" s="0" t="s">
        <v>209</v>
      </c>
      <c r="F105" s="0" t="n">
        <v>5</v>
      </c>
      <c r="G105" s="0" t="n">
        <f aca="false">$D105/$F105</f>
        <v>0.8</v>
      </c>
      <c r="H105" s="0" t="n">
        <f aca="false">SUMIFS(Home!$E$28:$E$39,Home!$B$28:$B$39,$B105)</f>
        <v>0</v>
      </c>
      <c r="I105" s="0" t="n">
        <f aca="false">$G105*$H105</f>
        <v>0</v>
      </c>
      <c r="J105" s="0" t="n">
        <f aca="false">$G105*Home!$D$5</f>
        <v>3.2</v>
      </c>
      <c r="K105" s="0" t="n">
        <f aca="false">INDEX(Pantry!$I$7:$I$68,MATCH($C105,Pantry!$A$7:$A$68,0))</f>
        <v>5</v>
      </c>
      <c r="L105" s="0" t="n">
        <f aca="false">IF($K105&gt;=$J105-0.0001,1,0)</f>
        <v>1</v>
      </c>
      <c r="M105" s="0" t="n">
        <f aca="false">MAX(0,$J105-$K105)</f>
        <v>0</v>
      </c>
    </row>
    <row r="106" customFormat="false" ht="15" hidden="false" customHeight="false" outlineLevel="0" collapsed="false">
      <c r="A106" s="0" t="s">
        <v>67</v>
      </c>
      <c r="B106" s="0" t="s">
        <v>68</v>
      </c>
      <c r="C106" s="0" t="s">
        <v>208</v>
      </c>
      <c r="D106" s="0" t="n">
        <v>3</v>
      </c>
      <c r="E106" s="0" t="s">
        <v>209</v>
      </c>
      <c r="F106" s="0" t="n">
        <v>5</v>
      </c>
      <c r="G106" s="0" t="n">
        <f aca="false">$D106/$F106</f>
        <v>0.6</v>
      </c>
      <c r="H106" s="0" t="n">
        <f aca="false">SUMIFS(Home!$E$28:$E$39,Home!$B$28:$B$39,$B106)</f>
        <v>0</v>
      </c>
      <c r="I106" s="0" t="n">
        <f aca="false">$G106*$H106</f>
        <v>0</v>
      </c>
      <c r="J106" s="0" t="n">
        <f aca="false">$G106*Home!$D$5</f>
        <v>2.4</v>
      </c>
      <c r="K106" s="0" t="n">
        <f aca="false">INDEX(Pantry!$I$7:$I$68,MATCH($C106,Pantry!$A$7:$A$68,0))</f>
        <v>6</v>
      </c>
      <c r="L106" s="0" t="n">
        <f aca="false">IF($K106&gt;=$J106-0.0001,1,0)</f>
        <v>1</v>
      </c>
      <c r="M106" s="0" t="n">
        <f aca="false">MAX(0,$J106-$K106)</f>
        <v>0</v>
      </c>
    </row>
    <row r="107" customFormat="false" ht="15" hidden="false" customHeight="false" outlineLevel="0" collapsed="false">
      <c r="A107" s="0" t="s">
        <v>67</v>
      </c>
      <c r="B107" s="0" t="s">
        <v>68</v>
      </c>
      <c r="C107" s="0" t="s">
        <v>213</v>
      </c>
      <c r="D107" s="0" t="n">
        <v>2</v>
      </c>
      <c r="E107" s="0" t="s">
        <v>214</v>
      </c>
      <c r="F107" s="0" t="n">
        <v>5</v>
      </c>
      <c r="G107" s="0" t="n">
        <f aca="false">$D107/$F107</f>
        <v>0.4</v>
      </c>
      <c r="H107" s="0" t="n">
        <f aca="false">SUMIFS(Home!$E$28:$E$39,Home!$B$28:$B$39,$B107)</f>
        <v>0</v>
      </c>
      <c r="I107" s="0" t="n">
        <f aca="false">$G107*$H107</f>
        <v>0</v>
      </c>
      <c r="J107" s="0" t="n">
        <f aca="false">$G107*Home!$D$5</f>
        <v>1.6</v>
      </c>
      <c r="K107" s="0" t="n">
        <f aca="false">INDEX(Pantry!$I$7:$I$68,MATCH($C107,Pantry!$A$7:$A$68,0))</f>
        <v>1</v>
      </c>
      <c r="L107" s="0" t="n">
        <f aca="false">IF($K107&gt;=$J107-0.0001,1,0)</f>
        <v>0</v>
      </c>
      <c r="M107" s="0" t="n">
        <f aca="false">MAX(0,$J107-$K107)</f>
        <v>0.6</v>
      </c>
    </row>
    <row r="108" customFormat="false" ht="15" hidden="false" customHeight="false" outlineLevel="0" collapsed="false">
      <c r="A108" s="0" t="s">
        <v>67</v>
      </c>
      <c r="B108" s="0" t="s">
        <v>68</v>
      </c>
      <c r="C108" s="0" t="s">
        <v>211</v>
      </c>
      <c r="D108" s="0" t="n">
        <v>0.5</v>
      </c>
      <c r="E108" s="0" t="s">
        <v>212</v>
      </c>
      <c r="F108" s="0" t="n">
        <v>5</v>
      </c>
      <c r="G108" s="0" t="n">
        <f aca="false">$D108/$F108</f>
        <v>0.1</v>
      </c>
      <c r="H108" s="0" t="n">
        <f aca="false">SUMIFS(Home!$E$28:$E$39,Home!$B$28:$B$39,$B108)</f>
        <v>0</v>
      </c>
      <c r="I108" s="0" t="n">
        <f aca="false">$G108*$H108</f>
        <v>0</v>
      </c>
      <c r="J108" s="0" t="n">
        <f aca="false">$G108*Home!$D$5</f>
        <v>0.4</v>
      </c>
      <c r="K108" s="0" t="n">
        <f aca="false">INDEX(Pantry!$I$7:$I$68,MATCH($C108,Pantry!$A$7:$A$68,0))</f>
        <v>2</v>
      </c>
      <c r="L108" s="0" t="n">
        <f aca="false">IF($K108&gt;=$J108-0.0001,1,0)</f>
        <v>1</v>
      </c>
      <c r="M108" s="0" t="n">
        <f aca="false">MAX(0,$J108-$K108)</f>
        <v>0</v>
      </c>
    </row>
    <row r="109" customFormat="false" ht="15" hidden="false" customHeight="false" outlineLevel="0" collapsed="false">
      <c r="A109" s="0" t="s">
        <v>67</v>
      </c>
      <c r="B109" s="0" t="s">
        <v>68</v>
      </c>
      <c r="C109" s="0" t="s">
        <v>232</v>
      </c>
      <c r="D109" s="0" t="n">
        <v>2</v>
      </c>
      <c r="E109" s="0" t="s">
        <v>223</v>
      </c>
      <c r="F109" s="0" t="n">
        <v>5</v>
      </c>
      <c r="G109" s="0" t="n">
        <f aca="false">$D109/$F109</f>
        <v>0.4</v>
      </c>
      <c r="H109" s="0" t="n">
        <f aca="false">SUMIFS(Home!$E$28:$E$39,Home!$B$28:$B$39,$B109)</f>
        <v>0</v>
      </c>
      <c r="I109" s="0" t="n">
        <f aca="false">$G109*$H109</f>
        <v>0</v>
      </c>
      <c r="J109" s="0" t="n">
        <f aca="false">$G109*Home!$D$5</f>
        <v>1.6</v>
      </c>
      <c r="K109" s="0" t="n">
        <f aca="false">INDEX(Pantry!$I$7:$I$68,MATCH($C109,Pantry!$A$7:$A$68,0))</f>
        <v>20</v>
      </c>
      <c r="L109" s="0" t="n">
        <f aca="false">IF($K109&gt;=$J109-0.0001,1,0)</f>
        <v>1</v>
      </c>
      <c r="M109" s="0" t="n">
        <f aca="false">MAX(0,$J109-$K109)</f>
        <v>0</v>
      </c>
    </row>
    <row r="110" customFormat="false" ht="15" hidden="false" customHeight="false" outlineLevel="0" collapsed="false">
      <c r="A110" s="0" t="s">
        <v>67</v>
      </c>
      <c r="B110" s="0" t="s">
        <v>68</v>
      </c>
      <c r="C110" s="0" t="s">
        <v>248</v>
      </c>
      <c r="D110" s="0" t="n">
        <v>1</v>
      </c>
      <c r="E110" s="0" t="s">
        <v>223</v>
      </c>
      <c r="F110" s="0" t="n">
        <v>5</v>
      </c>
      <c r="G110" s="0" t="n">
        <f aca="false">$D110/$F110</f>
        <v>0.2</v>
      </c>
      <c r="H110" s="0" t="n">
        <f aca="false">SUMIFS(Home!$E$28:$E$39,Home!$B$28:$B$39,$B110)</f>
        <v>0</v>
      </c>
      <c r="I110" s="0" t="n">
        <f aca="false">$G110*$H110</f>
        <v>0</v>
      </c>
      <c r="J110" s="0" t="n">
        <f aca="false">$G110*Home!$D$5</f>
        <v>0.8</v>
      </c>
      <c r="K110" s="0" t="n">
        <f aca="false">INDEX(Pantry!$I$7:$I$68,MATCH($C110,Pantry!$A$7:$A$68,0))</f>
        <v>0</v>
      </c>
      <c r="L110" s="0" t="n">
        <f aca="false">IF($K110&gt;=$J110-0.0001,1,0)</f>
        <v>0</v>
      </c>
      <c r="M110" s="0" t="n">
        <f aca="false">MAX(0,$J110-$K110)</f>
        <v>0.8</v>
      </c>
    </row>
    <row r="111" customFormat="false" ht="15" hidden="false" customHeight="false" outlineLevel="0" collapsed="false">
      <c r="A111" s="0" t="s">
        <v>67</v>
      </c>
      <c r="B111" s="0" t="s">
        <v>68</v>
      </c>
      <c r="C111" s="0" t="s">
        <v>233</v>
      </c>
      <c r="D111" s="0" t="n">
        <v>1</v>
      </c>
      <c r="E111" s="0" t="s">
        <v>223</v>
      </c>
      <c r="F111" s="0" t="n">
        <v>5</v>
      </c>
      <c r="G111" s="0" t="n">
        <f aca="false">$D111/$F111</f>
        <v>0.2</v>
      </c>
      <c r="H111" s="0" t="n">
        <f aca="false">SUMIFS(Home!$E$28:$E$39,Home!$B$28:$B$39,$B111)</f>
        <v>0</v>
      </c>
      <c r="I111" s="0" t="n">
        <f aca="false">$G111*$H111</f>
        <v>0</v>
      </c>
      <c r="J111" s="0" t="n">
        <f aca="false">$G111*Home!$D$5</f>
        <v>0.8</v>
      </c>
      <c r="K111" s="0" t="n">
        <f aca="false">INDEX(Pantry!$I$7:$I$68,MATCH($C111,Pantry!$A$7:$A$68,0))</f>
        <v>15</v>
      </c>
      <c r="L111" s="0" t="n">
        <f aca="false">IF($K111&gt;=$J111-0.0001,1,0)</f>
        <v>1</v>
      </c>
      <c r="M111" s="0" t="n">
        <f aca="false">MAX(0,$J111-$K111)</f>
        <v>0</v>
      </c>
    </row>
    <row r="112" customFormat="false" ht="15" hidden="false" customHeight="false" outlineLevel="0" collapsed="false">
      <c r="A112" s="0" t="s">
        <v>67</v>
      </c>
      <c r="B112" s="0" t="s">
        <v>68</v>
      </c>
      <c r="C112" s="0" t="s">
        <v>234</v>
      </c>
      <c r="D112" s="0" t="n">
        <v>2</v>
      </c>
      <c r="E112" s="0" t="s">
        <v>223</v>
      </c>
      <c r="F112" s="0" t="n">
        <v>5</v>
      </c>
      <c r="G112" s="0" t="n">
        <f aca="false">$D112/$F112</f>
        <v>0.4</v>
      </c>
      <c r="H112" s="0" t="n">
        <f aca="false">SUMIFS(Home!$E$28:$E$39,Home!$B$28:$B$39,$B112)</f>
        <v>0</v>
      </c>
      <c r="I112" s="0" t="n">
        <f aca="false">$G112*$H112</f>
        <v>0</v>
      </c>
      <c r="J112" s="0" t="n">
        <f aca="false">$G112*Home!$D$5</f>
        <v>1.6</v>
      </c>
      <c r="K112" s="0" t="n">
        <f aca="false">INDEX(Pantry!$I$7:$I$68,MATCH($C112,Pantry!$A$7:$A$68,0))</f>
        <v>12</v>
      </c>
      <c r="L112" s="0" t="n">
        <f aca="false">IF($K112&gt;=$J112-0.0001,1,0)</f>
        <v>1</v>
      </c>
      <c r="M112" s="0" t="n">
        <f aca="false">MAX(0,$J112-$K112)</f>
        <v>0</v>
      </c>
    </row>
    <row r="113" customFormat="false" ht="15" hidden="false" customHeight="false" outlineLevel="0" collapsed="false">
      <c r="A113" s="0" t="s">
        <v>67</v>
      </c>
      <c r="B113" s="0" t="s">
        <v>68</v>
      </c>
      <c r="C113" s="0" t="s">
        <v>226</v>
      </c>
      <c r="D113" s="0" t="n">
        <v>1</v>
      </c>
      <c r="E113" s="0" t="s">
        <v>214</v>
      </c>
      <c r="F113" s="0" t="n">
        <v>5</v>
      </c>
      <c r="G113" s="0" t="n">
        <f aca="false">$D113/$F113</f>
        <v>0.2</v>
      </c>
      <c r="H113" s="0" t="n">
        <f aca="false">SUMIFS(Home!$E$28:$E$39,Home!$B$28:$B$39,$B113)</f>
        <v>0</v>
      </c>
      <c r="I113" s="0" t="n">
        <f aca="false">$G113*$H113</f>
        <v>0</v>
      </c>
      <c r="J113" s="0" t="n">
        <f aca="false">$G113*Home!$D$5</f>
        <v>0.8</v>
      </c>
      <c r="K113" s="0" t="n">
        <f aca="false">INDEX(Pantry!$I$7:$I$68,MATCH($C113,Pantry!$A$7:$A$68,0))</f>
        <v>4</v>
      </c>
      <c r="L113" s="0" t="n">
        <f aca="false">IF($K113&gt;=$J113-0.0001,1,0)</f>
        <v>1</v>
      </c>
      <c r="M113" s="0" t="n">
        <f aca="false">MAX(0,$J113-$K113)</f>
        <v>0</v>
      </c>
    </row>
    <row r="114" customFormat="false" ht="15" hidden="false" customHeight="false" outlineLevel="0" collapsed="false">
      <c r="A114" s="0" t="s">
        <v>67</v>
      </c>
      <c r="B114" s="0" t="s">
        <v>68</v>
      </c>
      <c r="C114" s="0" t="s">
        <v>216</v>
      </c>
      <c r="D114" s="0" t="n">
        <v>0.75</v>
      </c>
      <c r="E114" s="0" t="s">
        <v>212</v>
      </c>
      <c r="F114" s="0" t="n">
        <v>5</v>
      </c>
      <c r="G114" s="0" t="n">
        <f aca="false">$D114/$F114</f>
        <v>0.15</v>
      </c>
      <c r="H114" s="0" t="n">
        <f aca="false">SUMIFS(Home!$E$28:$E$39,Home!$B$28:$B$39,$B114)</f>
        <v>0</v>
      </c>
      <c r="I114" s="0" t="n">
        <f aca="false">$G114*$H114</f>
        <v>0</v>
      </c>
      <c r="J114" s="0" t="n">
        <f aca="false">$G114*Home!$D$5</f>
        <v>0.6</v>
      </c>
      <c r="K114" s="0" t="n">
        <f aca="false">INDEX(Pantry!$I$7:$I$68,MATCH($C114,Pantry!$A$7:$A$68,0))</f>
        <v>5</v>
      </c>
      <c r="L114" s="0" t="n">
        <f aca="false">IF($K114&gt;=$J114-0.0001,1,0)</f>
        <v>1</v>
      </c>
      <c r="M114" s="0" t="n">
        <f aca="false">MAX(0,$J114-$K114)</f>
        <v>0</v>
      </c>
    </row>
    <row r="115" customFormat="false" ht="15" hidden="false" customHeight="false" outlineLevel="0" collapsed="false">
      <c r="A115" s="0" t="s">
        <v>67</v>
      </c>
      <c r="B115" s="0" t="s">
        <v>68</v>
      </c>
      <c r="C115" s="0" t="s">
        <v>222</v>
      </c>
      <c r="D115" s="0" t="n">
        <v>2</v>
      </c>
      <c r="E115" s="0" t="s">
        <v>223</v>
      </c>
      <c r="F115" s="0" t="n">
        <v>5</v>
      </c>
      <c r="G115" s="0" t="n">
        <f aca="false">$D115/$F115</f>
        <v>0.4</v>
      </c>
      <c r="H115" s="0" t="n">
        <f aca="false">SUMIFS(Home!$E$28:$E$39,Home!$B$28:$B$39,$B115)</f>
        <v>0</v>
      </c>
      <c r="I115" s="0" t="n">
        <f aca="false">$G115*$H115</f>
        <v>0</v>
      </c>
      <c r="J115" s="0" t="n">
        <f aca="false">$G115*Home!$D$5</f>
        <v>1.6</v>
      </c>
      <c r="K115" s="0" t="n">
        <f aca="false">INDEX(Pantry!$I$7:$I$68,MATCH($C115,Pantry!$A$7:$A$68,0))</f>
        <v>50</v>
      </c>
      <c r="L115" s="0" t="n">
        <f aca="false">IF($K115&gt;=$J115-0.0001,1,0)</f>
        <v>1</v>
      </c>
      <c r="M115" s="0" t="n">
        <f aca="false">MAX(0,$J115-$K115)</f>
        <v>0</v>
      </c>
    </row>
    <row r="116" customFormat="false" ht="15" hidden="false" customHeight="false" outlineLevel="0" collapsed="false">
      <c r="A116" s="0" t="s">
        <v>67</v>
      </c>
      <c r="B116" s="0" t="s">
        <v>68</v>
      </c>
      <c r="C116" s="0" t="s">
        <v>219</v>
      </c>
      <c r="D116" s="0" t="n">
        <v>0.5</v>
      </c>
      <c r="E116" s="0" t="s">
        <v>218</v>
      </c>
      <c r="F116" s="0" t="n">
        <v>5</v>
      </c>
      <c r="G116" s="0" t="n">
        <f aca="false">$D116/$F116</f>
        <v>0.1</v>
      </c>
      <c r="H116" s="0" t="n">
        <f aca="false">SUMIFS(Home!$E$28:$E$39,Home!$B$28:$B$39,$B116)</f>
        <v>0</v>
      </c>
      <c r="I116" s="0" t="n">
        <f aca="false">$G116*$H116</f>
        <v>0</v>
      </c>
      <c r="J116" s="0" t="n">
        <f aca="false">$G116*Home!$D$5</f>
        <v>0.4</v>
      </c>
      <c r="K116" s="0" t="n">
        <f aca="false">INDEX(Pantry!$I$7:$I$68,MATCH($C116,Pantry!$A$7:$A$68,0))</f>
        <v>2</v>
      </c>
      <c r="L116" s="0" t="n">
        <f aca="false">IF($K116&gt;=$J116-0.0001,1,0)</f>
        <v>1</v>
      </c>
      <c r="M116" s="0" t="n">
        <f aca="false">MAX(0,$J116-$K116)</f>
        <v>0</v>
      </c>
    </row>
    <row r="117" customFormat="false" ht="15" hidden="false" customHeight="false" outlineLevel="0" collapsed="false">
      <c r="A117" s="0" t="s">
        <v>67</v>
      </c>
      <c r="B117" s="0" t="s">
        <v>68</v>
      </c>
      <c r="C117" s="0" t="s">
        <v>220</v>
      </c>
      <c r="D117" s="0" t="n">
        <v>3</v>
      </c>
      <c r="E117" s="0" t="s">
        <v>209</v>
      </c>
      <c r="F117" s="0" t="n">
        <v>5</v>
      </c>
      <c r="G117" s="0" t="n">
        <f aca="false">$D117/$F117</f>
        <v>0.6</v>
      </c>
      <c r="H117" s="0" t="n">
        <f aca="false">SUMIFS(Home!$E$28:$E$39,Home!$B$28:$B$39,$B117)</f>
        <v>0</v>
      </c>
      <c r="I117" s="0" t="n">
        <f aca="false">$G117*$H117</f>
        <v>0</v>
      </c>
      <c r="J117" s="0" t="n">
        <f aca="false">$G117*Home!$D$5</f>
        <v>2.4</v>
      </c>
      <c r="K117" s="0" t="n">
        <f aca="false">INDEX(Pantry!$I$7:$I$68,MATCH($C117,Pantry!$A$7:$A$68,0))</f>
        <v>10</v>
      </c>
      <c r="L117" s="0" t="n">
        <f aca="false">IF($K117&gt;=$J117-0.0001,1,0)</f>
        <v>1</v>
      </c>
      <c r="M117" s="0" t="n">
        <f aca="false">MAX(0,$J117-$K117)</f>
        <v>0</v>
      </c>
    </row>
    <row r="118" customFormat="false" ht="15" hidden="false" customHeight="false" outlineLevel="0" collapsed="false">
      <c r="A118" s="0" t="s">
        <v>71</v>
      </c>
      <c r="B118" s="0" t="s">
        <v>72</v>
      </c>
      <c r="C118" s="0" t="s">
        <v>249</v>
      </c>
      <c r="D118" s="0" t="n">
        <v>0.5</v>
      </c>
      <c r="E118" s="0" t="s">
        <v>206</v>
      </c>
      <c r="F118" s="0" t="n">
        <v>6</v>
      </c>
      <c r="G118" s="0" t="n">
        <f aca="false">$D118/$F118</f>
        <v>0.0833333333333333</v>
      </c>
      <c r="H118" s="0" t="n">
        <f aca="false">SUMIFS(Home!$E$28:$E$39,Home!$B$28:$B$39,$B118)</f>
        <v>0</v>
      </c>
      <c r="I118" s="0" t="n">
        <f aca="false">$G118*$H118</f>
        <v>0</v>
      </c>
      <c r="J118" s="0" t="n">
        <f aca="false">$G118*Home!$D$5</f>
        <v>0.333333333333333</v>
      </c>
      <c r="K118" s="0" t="n">
        <f aca="false">INDEX(Pantry!$I$7:$I$68,MATCH($C118,Pantry!$A$7:$A$68,0))</f>
        <v>1</v>
      </c>
      <c r="L118" s="0" t="n">
        <f aca="false">IF($K118&gt;=$J118-0.0001,1,0)</f>
        <v>1</v>
      </c>
      <c r="M118" s="0" t="n">
        <f aca="false">MAX(0,$J118-$K118)</f>
        <v>0</v>
      </c>
    </row>
    <row r="119" customFormat="false" ht="15" hidden="false" customHeight="false" outlineLevel="0" collapsed="false">
      <c r="A119" s="0" t="s">
        <v>71</v>
      </c>
      <c r="B119" s="0" t="s">
        <v>72</v>
      </c>
      <c r="C119" s="0" t="s">
        <v>241</v>
      </c>
      <c r="D119" s="0" t="n">
        <v>250</v>
      </c>
      <c r="E119" s="0" t="s">
        <v>231</v>
      </c>
      <c r="F119" s="0" t="n">
        <v>6</v>
      </c>
      <c r="G119" s="0" t="n">
        <f aca="false">$D119/$F119</f>
        <v>41.6666666666667</v>
      </c>
      <c r="H119" s="0" t="n">
        <f aca="false">SUMIFS(Home!$E$28:$E$39,Home!$B$28:$B$39,$B119)</f>
        <v>0</v>
      </c>
      <c r="I119" s="0" t="n">
        <f aca="false">$G119*$H119</f>
        <v>0</v>
      </c>
      <c r="J119" s="0" t="n">
        <f aca="false">$G119*Home!$D$5</f>
        <v>166.666666666667</v>
      </c>
      <c r="K119" s="0" t="n">
        <f aca="false">INDEX(Pantry!$I$7:$I$68,MATCH($C119,Pantry!$A$7:$A$68,0))</f>
        <v>500</v>
      </c>
      <c r="L119" s="0" t="n">
        <f aca="false">IF($K119&gt;=$J119-0.0001,1,0)</f>
        <v>1</v>
      </c>
      <c r="M119" s="0" t="n">
        <f aca="false">MAX(0,$J119-$K119)</f>
        <v>0</v>
      </c>
    </row>
    <row r="120" customFormat="false" ht="15" hidden="false" customHeight="false" outlineLevel="0" collapsed="false">
      <c r="A120" s="0" t="s">
        <v>71</v>
      </c>
      <c r="B120" s="0" t="s">
        <v>72</v>
      </c>
      <c r="C120" s="0" t="s">
        <v>208</v>
      </c>
      <c r="D120" s="0" t="n">
        <v>1</v>
      </c>
      <c r="E120" s="0" t="s">
        <v>209</v>
      </c>
      <c r="F120" s="0" t="n">
        <v>6</v>
      </c>
      <c r="G120" s="0" t="n">
        <f aca="false">$D120/$F120</f>
        <v>0.166666666666667</v>
      </c>
      <c r="H120" s="0" t="n">
        <f aca="false">SUMIFS(Home!$E$28:$E$39,Home!$B$28:$B$39,$B120)</f>
        <v>0</v>
      </c>
      <c r="I120" s="0" t="n">
        <f aca="false">$G120*$H120</f>
        <v>0</v>
      </c>
      <c r="J120" s="0" t="n">
        <f aca="false">$G120*Home!$D$5</f>
        <v>0.666666666666667</v>
      </c>
      <c r="K120" s="0" t="n">
        <f aca="false">INDEX(Pantry!$I$7:$I$68,MATCH($C120,Pantry!$A$7:$A$68,0))</f>
        <v>6</v>
      </c>
      <c r="L120" s="0" t="n">
        <f aca="false">IF($K120&gt;=$J120-0.0001,1,0)</f>
        <v>1</v>
      </c>
      <c r="M120" s="0" t="n">
        <f aca="false">MAX(0,$J120-$K120)</f>
        <v>0</v>
      </c>
    </row>
    <row r="121" customFormat="false" ht="15" hidden="false" customHeight="false" outlineLevel="0" collapsed="false">
      <c r="A121" s="0" t="s">
        <v>71</v>
      </c>
      <c r="B121" s="0" t="s">
        <v>72</v>
      </c>
      <c r="C121" s="0" t="s">
        <v>226</v>
      </c>
      <c r="D121" s="0" t="n">
        <v>2</v>
      </c>
      <c r="E121" s="0" t="s">
        <v>214</v>
      </c>
      <c r="F121" s="0" t="n">
        <v>6</v>
      </c>
      <c r="G121" s="0" t="n">
        <f aca="false">$D121/$F121</f>
        <v>0.333333333333333</v>
      </c>
      <c r="H121" s="0" t="n">
        <f aca="false">SUMIFS(Home!$E$28:$E$39,Home!$B$28:$B$39,$B121)</f>
        <v>0</v>
      </c>
      <c r="I121" s="0" t="n">
        <f aca="false">$G121*$H121</f>
        <v>0</v>
      </c>
      <c r="J121" s="0" t="n">
        <f aca="false">$G121*Home!$D$5</f>
        <v>1.33333333333333</v>
      </c>
      <c r="K121" s="0" t="n">
        <f aca="false">INDEX(Pantry!$I$7:$I$68,MATCH($C121,Pantry!$A$7:$A$68,0))</f>
        <v>4</v>
      </c>
      <c r="L121" s="0" t="n">
        <f aca="false">IF($K121&gt;=$J121-0.0001,1,0)</f>
        <v>1</v>
      </c>
      <c r="M121" s="0" t="n">
        <f aca="false">MAX(0,$J121-$K121)</f>
        <v>0</v>
      </c>
    </row>
    <row r="122" customFormat="false" ht="15" hidden="false" customHeight="false" outlineLevel="0" collapsed="false">
      <c r="A122" s="0" t="s">
        <v>71</v>
      </c>
      <c r="B122" s="0" t="s">
        <v>72</v>
      </c>
      <c r="C122" s="0" t="s">
        <v>213</v>
      </c>
      <c r="D122" s="0" t="n">
        <v>2</v>
      </c>
      <c r="E122" s="0" t="s">
        <v>214</v>
      </c>
      <c r="F122" s="0" t="n">
        <v>6</v>
      </c>
      <c r="G122" s="0" t="n">
        <f aca="false">$D122/$F122</f>
        <v>0.333333333333333</v>
      </c>
      <c r="H122" s="0" t="n">
        <f aca="false">SUMIFS(Home!$E$28:$E$39,Home!$B$28:$B$39,$B122)</f>
        <v>0</v>
      </c>
      <c r="I122" s="0" t="n">
        <f aca="false">$G122*$H122</f>
        <v>0</v>
      </c>
      <c r="J122" s="0" t="n">
        <f aca="false">$G122*Home!$D$5</f>
        <v>1.33333333333333</v>
      </c>
      <c r="K122" s="0" t="n">
        <f aca="false">INDEX(Pantry!$I$7:$I$68,MATCH($C122,Pantry!$A$7:$A$68,0))</f>
        <v>1</v>
      </c>
      <c r="L122" s="0" t="n">
        <f aca="false">IF($K122&gt;=$J122-0.0001,1,0)</f>
        <v>0</v>
      </c>
      <c r="M122" s="0" t="n">
        <f aca="false">MAX(0,$J122-$K122)</f>
        <v>0.333333333333333</v>
      </c>
    </row>
    <row r="123" customFormat="false" ht="15" hidden="false" customHeight="false" outlineLevel="0" collapsed="false">
      <c r="A123" s="0" t="s">
        <v>71</v>
      </c>
      <c r="B123" s="0" t="s">
        <v>72</v>
      </c>
      <c r="C123" s="0" t="s">
        <v>233</v>
      </c>
      <c r="D123" s="0" t="n">
        <v>1</v>
      </c>
      <c r="E123" s="0" t="s">
        <v>223</v>
      </c>
      <c r="F123" s="0" t="n">
        <v>6</v>
      </c>
      <c r="G123" s="0" t="n">
        <f aca="false">$D123/$F123</f>
        <v>0.166666666666667</v>
      </c>
      <c r="H123" s="0" t="n">
        <f aca="false">SUMIFS(Home!$E$28:$E$39,Home!$B$28:$B$39,$B123)</f>
        <v>0</v>
      </c>
      <c r="I123" s="0" t="n">
        <f aca="false">$G123*$H123</f>
        <v>0</v>
      </c>
      <c r="J123" s="0" t="n">
        <f aca="false">$G123*Home!$D$5</f>
        <v>0.666666666666667</v>
      </c>
      <c r="K123" s="0" t="n">
        <f aca="false">INDEX(Pantry!$I$7:$I$68,MATCH($C123,Pantry!$A$7:$A$68,0))</f>
        <v>15</v>
      </c>
      <c r="L123" s="0" t="n">
        <f aca="false">IF($K123&gt;=$J123-0.0001,1,0)</f>
        <v>1</v>
      </c>
      <c r="M123" s="0" t="n">
        <f aca="false">MAX(0,$J123-$K123)</f>
        <v>0</v>
      </c>
    </row>
    <row r="124" customFormat="false" ht="15" hidden="false" customHeight="false" outlineLevel="0" collapsed="false">
      <c r="A124" s="0" t="s">
        <v>71</v>
      </c>
      <c r="B124" s="0" t="s">
        <v>72</v>
      </c>
      <c r="C124" s="0" t="s">
        <v>222</v>
      </c>
      <c r="D124" s="0" t="n">
        <v>2</v>
      </c>
      <c r="E124" s="0" t="s">
        <v>223</v>
      </c>
      <c r="F124" s="0" t="n">
        <v>6</v>
      </c>
      <c r="G124" s="0" t="n">
        <f aca="false">$D124/$F124</f>
        <v>0.333333333333333</v>
      </c>
      <c r="H124" s="0" t="n">
        <f aca="false">SUMIFS(Home!$E$28:$E$39,Home!$B$28:$B$39,$B124)</f>
        <v>0</v>
      </c>
      <c r="I124" s="0" t="n">
        <f aca="false">$G124*$H124</f>
        <v>0</v>
      </c>
      <c r="J124" s="0" t="n">
        <f aca="false">$G124*Home!$D$5</f>
        <v>1.33333333333333</v>
      </c>
      <c r="K124" s="0" t="n">
        <f aca="false">INDEX(Pantry!$I$7:$I$68,MATCH($C124,Pantry!$A$7:$A$68,0))</f>
        <v>50</v>
      </c>
      <c r="L124" s="0" t="n">
        <f aca="false">IF($K124&gt;=$J124-0.0001,1,0)</f>
        <v>1</v>
      </c>
      <c r="M124" s="0" t="n">
        <f aca="false">MAX(0,$J124-$K124)</f>
        <v>0</v>
      </c>
    </row>
    <row r="125" customFormat="false" ht="15" hidden="false" customHeight="false" outlineLevel="0" collapsed="false">
      <c r="A125" s="0" t="s">
        <v>71</v>
      </c>
      <c r="B125" s="0" t="s">
        <v>72</v>
      </c>
      <c r="C125" s="0" t="s">
        <v>228</v>
      </c>
      <c r="D125" s="0" t="n">
        <v>2</v>
      </c>
      <c r="E125" s="0" t="s">
        <v>223</v>
      </c>
      <c r="F125" s="0" t="n">
        <v>6</v>
      </c>
      <c r="G125" s="0" t="n">
        <f aca="false">$D125/$F125</f>
        <v>0.333333333333333</v>
      </c>
      <c r="H125" s="0" t="n">
        <f aca="false">SUMIFS(Home!$E$28:$E$39,Home!$B$28:$B$39,$B125)</f>
        <v>0</v>
      </c>
      <c r="I125" s="0" t="n">
        <f aca="false">$G125*$H125</f>
        <v>0</v>
      </c>
      <c r="J125" s="0" t="n">
        <f aca="false">$G125*Home!$D$5</f>
        <v>1.33333333333333</v>
      </c>
      <c r="K125" s="0" t="n">
        <f aca="false">INDEX(Pantry!$I$7:$I$68,MATCH($C125,Pantry!$A$7:$A$68,0))</f>
        <v>6</v>
      </c>
      <c r="L125" s="0" t="n">
        <f aca="false">IF($K125&gt;=$J125-0.0001,1,0)</f>
        <v>1</v>
      </c>
      <c r="M125" s="0" t="n">
        <f aca="false">MAX(0,$J125-$K125)</f>
        <v>0</v>
      </c>
    </row>
    <row r="126" customFormat="false" ht="15" hidden="false" customHeight="false" outlineLevel="0" collapsed="false">
      <c r="A126" s="0" t="s">
        <v>71</v>
      </c>
      <c r="B126" s="0" t="s">
        <v>72</v>
      </c>
      <c r="C126" s="0" t="s">
        <v>227</v>
      </c>
      <c r="D126" s="0" t="n">
        <v>2</v>
      </c>
      <c r="E126" s="0" t="s">
        <v>223</v>
      </c>
      <c r="F126" s="0" t="n">
        <v>6</v>
      </c>
      <c r="G126" s="0" t="n">
        <f aca="false">$D126/$F126</f>
        <v>0.333333333333333</v>
      </c>
      <c r="H126" s="0" t="n">
        <f aca="false">SUMIFS(Home!$E$28:$E$39,Home!$B$28:$B$39,$B126)</f>
        <v>0</v>
      </c>
      <c r="I126" s="0" t="n">
        <f aca="false">$G126*$H126</f>
        <v>0</v>
      </c>
      <c r="J126" s="0" t="n">
        <f aca="false">$G126*Home!$D$5</f>
        <v>1.33333333333333</v>
      </c>
      <c r="K126" s="0" t="n">
        <f aca="false">INDEX(Pantry!$I$7:$I$68,MATCH($C126,Pantry!$A$7:$A$68,0))</f>
        <v>8</v>
      </c>
      <c r="L126" s="0" t="n">
        <f aca="false">IF($K126&gt;=$J126-0.0001,1,0)</f>
        <v>1</v>
      </c>
      <c r="M126" s="0" t="n">
        <f aca="false">MAX(0,$J126-$K126)</f>
        <v>0</v>
      </c>
    </row>
    <row r="127" customFormat="false" ht="15" hidden="false" customHeight="false" outlineLevel="0" collapsed="false">
      <c r="A127" s="0" t="s">
        <v>71</v>
      </c>
      <c r="B127" s="0" t="s">
        <v>72</v>
      </c>
      <c r="C127" s="0" t="s">
        <v>250</v>
      </c>
      <c r="D127" s="0" t="n">
        <v>2</v>
      </c>
      <c r="E127" s="0" t="s">
        <v>209</v>
      </c>
      <c r="F127" s="0" t="n">
        <v>6</v>
      </c>
      <c r="G127" s="0" t="n">
        <f aca="false">$D127/$F127</f>
        <v>0.333333333333333</v>
      </c>
      <c r="H127" s="0" t="n">
        <f aca="false">SUMIFS(Home!$E$28:$E$39,Home!$B$28:$B$39,$B127)</f>
        <v>0</v>
      </c>
      <c r="I127" s="0" t="n">
        <f aca="false">$G127*$H127</f>
        <v>0</v>
      </c>
      <c r="J127" s="0" t="n">
        <f aca="false">$G127*Home!$D$5</f>
        <v>1.33333333333333</v>
      </c>
      <c r="K127" s="0" t="n">
        <f aca="false">INDEX(Pantry!$I$7:$I$68,MATCH($C127,Pantry!$A$7:$A$68,0))</f>
        <v>6</v>
      </c>
      <c r="L127" s="0" t="n">
        <f aca="false">IF($K127&gt;=$J127-0.0001,1,0)</f>
        <v>1</v>
      </c>
      <c r="M127" s="0" t="n">
        <f aca="false">MAX(0,$J127-$K127)</f>
        <v>0</v>
      </c>
    </row>
    <row r="128" customFormat="false" ht="15" hidden="false" customHeight="false" outlineLevel="0" collapsed="false">
      <c r="A128" s="0" t="s">
        <v>71</v>
      </c>
      <c r="B128" s="0" t="s">
        <v>72</v>
      </c>
      <c r="C128" s="0" t="s">
        <v>220</v>
      </c>
      <c r="D128" s="0" t="n">
        <v>4</v>
      </c>
      <c r="E128" s="0" t="s">
        <v>209</v>
      </c>
      <c r="F128" s="0" t="n">
        <v>6</v>
      </c>
      <c r="G128" s="0" t="n">
        <f aca="false">$D128/$F128</f>
        <v>0.666666666666667</v>
      </c>
      <c r="H128" s="0" t="n">
        <f aca="false">SUMIFS(Home!$E$28:$E$39,Home!$B$28:$B$39,$B128)</f>
        <v>0</v>
      </c>
      <c r="I128" s="0" t="n">
        <f aca="false">$G128*$H128</f>
        <v>0</v>
      </c>
      <c r="J128" s="0" t="n">
        <f aca="false">$G128*Home!$D$5</f>
        <v>2.66666666666667</v>
      </c>
      <c r="K128" s="0" t="n">
        <f aca="false">INDEX(Pantry!$I$7:$I$68,MATCH($C128,Pantry!$A$7:$A$68,0))</f>
        <v>10</v>
      </c>
      <c r="L128" s="0" t="n">
        <f aca="false">IF($K128&gt;=$J128-0.0001,1,0)</f>
        <v>1</v>
      </c>
      <c r="M128" s="0" t="n">
        <f aca="false">MAX(0,$J128-$K128)</f>
        <v>0</v>
      </c>
    </row>
    <row r="129" customFormat="false" ht="15" hidden="false" customHeight="false" outlineLevel="0" collapsed="false">
      <c r="A129" s="0" t="s">
        <v>71</v>
      </c>
      <c r="B129" s="0" t="s">
        <v>72</v>
      </c>
      <c r="C129" s="0" t="s">
        <v>217</v>
      </c>
      <c r="D129" s="0" t="n">
        <v>0.5</v>
      </c>
      <c r="E129" s="0" t="s">
        <v>218</v>
      </c>
      <c r="F129" s="0" t="n">
        <v>6</v>
      </c>
      <c r="G129" s="0" t="n">
        <f aca="false">$D129/$F129</f>
        <v>0.0833333333333333</v>
      </c>
      <c r="H129" s="0" t="n">
        <f aca="false">SUMIFS(Home!$E$28:$E$39,Home!$B$28:$B$39,$B129)</f>
        <v>0</v>
      </c>
      <c r="I129" s="0" t="n">
        <f aca="false">$G129*$H129</f>
        <v>0</v>
      </c>
      <c r="J129" s="0" t="n">
        <f aca="false">$G129*Home!$D$5</f>
        <v>0.333333333333333</v>
      </c>
      <c r="K129" s="0" t="n">
        <f aca="false">INDEX(Pantry!$I$7:$I$68,MATCH($C129,Pantry!$A$7:$A$68,0))</f>
        <v>0</v>
      </c>
      <c r="L129" s="0" t="n">
        <f aca="false">IF($K129&gt;=$J129-0.0001,1,0)</f>
        <v>0</v>
      </c>
      <c r="M129" s="0" t="n">
        <f aca="false">MAX(0,$J129-$K129)</f>
        <v>0.333333333333333</v>
      </c>
    </row>
    <row r="130" customFormat="false" ht="15" hidden="false" customHeight="false" outlineLevel="0" collapsed="false">
      <c r="A130" s="0" t="s">
        <v>71</v>
      </c>
      <c r="B130" s="0" t="s">
        <v>72</v>
      </c>
      <c r="C130" s="0" t="s">
        <v>219</v>
      </c>
      <c r="D130" s="0" t="n">
        <v>0.5</v>
      </c>
      <c r="E130" s="0" t="s">
        <v>218</v>
      </c>
      <c r="F130" s="0" t="n">
        <v>6</v>
      </c>
      <c r="G130" s="0" t="n">
        <f aca="false">$D130/$F130</f>
        <v>0.0833333333333333</v>
      </c>
      <c r="H130" s="0" t="n">
        <f aca="false">SUMIFS(Home!$E$28:$E$39,Home!$B$28:$B$39,$B130)</f>
        <v>0</v>
      </c>
      <c r="I130" s="0" t="n">
        <f aca="false">$G130*$H130</f>
        <v>0</v>
      </c>
      <c r="J130" s="0" t="n">
        <f aca="false">$G130*Home!$D$5</f>
        <v>0.333333333333333</v>
      </c>
      <c r="K130" s="0" t="n">
        <f aca="false">INDEX(Pantry!$I$7:$I$68,MATCH($C130,Pantry!$A$7:$A$68,0))</f>
        <v>2</v>
      </c>
      <c r="L130" s="0" t="n">
        <f aca="false">IF($K130&gt;=$J130-0.0001,1,0)</f>
        <v>1</v>
      </c>
      <c r="M130" s="0" t="n">
        <f aca="false">MAX(0,$J130-$K130)</f>
        <v>0</v>
      </c>
    </row>
    <row r="131" customFormat="false" ht="15" hidden="false" customHeight="false" outlineLevel="0" collapsed="false">
      <c r="A131" s="0" t="s">
        <v>71</v>
      </c>
      <c r="B131" s="0" t="s">
        <v>72</v>
      </c>
      <c r="C131" s="0" t="s">
        <v>216</v>
      </c>
      <c r="D131" s="0" t="n">
        <v>0.5</v>
      </c>
      <c r="E131" s="0" t="s">
        <v>212</v>
      </c>
      <c r="F131" s="0" t="n">
        <v>6</v>
      </c>
      <c r="G131" s="0" t="n">
        <f aca="false">$D131/$F131</f>
        <v>0.0833333333333333</v>
      </c>
      <c r="H131" s="0" t="n">
        <f aca="false">SUMIFS(Home!$E$28:$E$39,Home!$B$28:$B$39,$B131)</f>
        <v>0</v>
      </c>
      <c r="I131" s="0" t="n">
        <f aca="false">$G131*$H131</f>
        <v>0</v>
      </c>
      <c r="J131" s="0" t="n">
        <f aca="false">$G131*Home!$D$5</f>
        <v>0.333333333333333</v>
      </c>
      <c r="K131" s="0" t="n">
        <f aca="false">INDEX(Pantry!$I$7:$I$68,MATCH($C131,Pantry!$A$7:$A$68,0))</f>
        <v>5</v>
      </c>
      <c r="L131" s="0" t="n">
        <f aca="false">IF($K131&gt;=$J131-0.0001,1,0)</f>
        <v>1</v>
      </c>
      <c r="M131" s="0" t="n">
        <f aca="false">MAX(0,$J131-$K131)</f>
        <v>0</v>
      </c>
    </row>
    <row r="132" customFormat="false" ht="15" hidden="false" customHeight="false" outlineLevel="0" collapsed="false">
      <c r="A132" s="0" t="s">
        <v>71</v>
      </c>
      <c r="B132" s="0" t="s">
        <v>72</v>
      </c>
      <c r="C132" s="0" t="s">
        <v>232</v>
      </c>
      <c r="D132" s="0" t="n">
        <v>2</v>
      </c>
      <c r="E132" s="0" t="s">
        <v>223</v>
      </c>
      <c r="F132" s="0" t="n">
        <v>6</v>
      </c>
      <c r="G132" s="0" t="n">
        <f aca="false">$D132/$F132</f>
        <v>0.333333333333333</v>
      </c>
      <c r="H132" s="0" t="n">
        <f aca="false">SUMIFS(Home!$E$28:$E$39,Home!$B$28:$B$39,$B132)</f>
        <v>0</v>
      </c>
      <c r="I132" s="0" t="n">
        <f aca="false">$G132*$H132</f>
        <v>0</v>
      </c>
      <c r="J132" s="0" t="n">
        <f aca="false">$G132*Home!$D$5</f>
        <v>1.33333333333333</v>
      </c>
      <c r="K132" s="0" t="n">
        <f aca="false">INDEX(Pantry!$I$7:$I$68,MATCH($C132,Pantry!$A$7:$A$68,0))</f>
        <v>20</v>
      </c>
      <c r="L132" s="0" t="n">
        <f aca="false">IF($K132&gt;=$J132-0.0001,1,0)</f>
        <v>1</v>
      </c>
      <c r="M132" s="0" t="n">
        <f aca="false">MAX(0,$J132-$K132)</f>
        <v>0</v>
      </c>
    </row>
    <row r="133" customFormat="false" ht="15" hidden="false" customHeight="false" outlineLevel="0" collapsed="false">
      <c r="A133" s="0" t="s">
        <v>75</v>
      </c>
      <c r="B133" s="0" t="s">
        <v>76</v>
      </c>
      <c r="C133" s="0" t="s">
        <v>205</v>
      </c>
      <c r="D133" s="0" t="n">
        <v>0.5</v>
      </c>
      <c r="E133" s="0" t="s">
        <v>206</v>
      </c>
      <c r="F133" s="0" t="n">
        <v>4</v>
      </c>
      <c r="G133" s="0" t="n">
        <f aca="false">$D133/$F133</f>
        <v>0.125</v>
      </c>
      <c r="H133" s="0" t="n">
        <f aca="false">SUMIFS(Home!$E$28:$E$39,Home!$B$28:$B$39,$B133)</f>
        <v>0</v>
      </c>
      <c r="I133" s="0" t="n">
        <f aca="false">$G133*$H133</f>
        <v>0</v>
      </c>
      <c r="J133" s="0" t="n">
        <f aca="false">$G133*Home!$D$5</f>
        <v>0.5</v>
      </c>
      <c r="K133" s="0" t="n">
        <f aca="false">INDEX(Pantry!$I$7:$I$68,MATCH($C133,Pantry!$A$7:$A$68,0))</f>
        <v>1</v>
      </c>
      <c r="L133" s="0" t="n">
        <f aca="false">IF($K133&gt;=$J133-0.0001,1,0)</f>
        <v>1</v>
      </c>
      <c r="M133" s="0" t="n">
        <f aca="false">MAX(0,$J133-$K133)</f>
        <v>0</v>
      </c>
    </row>
    <row r="134" customFormat="false" ht="15" hidden="false" customHeight="false" outlineLevel="0" collapsed="false">
      <c r="A134" s="0" t="s">
        <v>75</v>
      </c>
      <c r="B134" s="0" t="s">
        <v>76</v>
      </c>
      <c r="C134" s="0" t="s">
        <v>250</v>
      </c>
      <c r="D134" s="0" t="n">
        <v>1</v>
      </c>
      <c r="E134" s="0" t="s">
        <v>209</v>
      </c>
      <c r="F134" s="0" t="n">
        <v>4</v>
      </c>
      <c r="G134" s="0" t="n">
        <f aca="false">$D134/$F134</f>
        <v>0.25</v>
      </c>
      <c r="H134" s="0" t="n">
        <f aca="false">SUMIFS(Home!$E$28:$E$39,Home!$B$28:$B$39,$B134)</f>
        <v>0</v>
      </c>
      <c r="I134" s="0" t="n">
        <f aca="false">$G134*$H134</f>
        <v>0</v>
      </c>
      <c r="J134" s="0" t="n">
        <f aca="false">$G134*Home!$D$5</f>
        <v>1</v>
      </c>
      <c r="K134" s="0" t="n">
        <f aca="false">INDEX(Pantry!$I$7:$I$68,MATCH($C134,Pantry!$A$7:$A$68,0))</f>
        <v>6</v>
      </c>
      <c r="L134" s="0" t="n">
        <f aca="false">IF($K134&gt;=$J134-0.0001,1,0)</f>
        <v>1</v>
      </c>
      <c r="M134" s="0" t="n">
        <f aca="false">MAX(0,$J134-$K134)</f>
        <v>0</v>
      </c>
    </row>
    <row r="135" customFormat="false" ht="15" hidden="false" customHeight="false" outlineLevel="0" collapsed="false">
      <c r="A135" s="0" t="s">
        <v>75</v>
      </c>
      <c r="B135" s="0" t="s">
        <v>76</v>
      </c>
      <c r="C135" s="0" t="s">
        <v>251</v>
      </c>
      <c r="D135" s="0" t="n">
        <v>4</v>
      </c>
      <c r="E135" s="0" t="s">
        <v>214</v>
      </c>
      <c r="F135" s="0" t="n">
        <v>4</v>
      </c>
      <c r="G135" s="0" t="n">
        <f aca="false">$D135/$F135</f>
        <v>1</v>
      </c>
      <c r="H135" s="0" t="n">
        <f aca="false">SUMIFS(Home!$E$28:$E$39,Home!$B$28:$B$39,$B135)</f>
        <v>0</v>
      </c>
      <c r="I135" s="0" t="n">
        <f aca="false">$G135*$H135</f>
        <v>0</v>
      </c>
      <c r="J135" s="0" t="n">
        <f aca="false">$G135*Home!$D$5</f>
        <v>4</v>
      </c>
      <c r="K135" s="0" t="n">
        <f aca="false">INDEX(Pantry!$I$7:$I$68,MATCH($C135,Pantry!$A$7:$A$68,0))</f>
        <v>4</v>
      </c>
      <c r="L135" s="0" t="n">
        <f aca="false">IF($K135&gt;=$J135-0.0001,1,0)</f>
        <v>1</v>
      </c>
      <c r="M135" s="0" t="n">
        <f aca="false">MAX(0,$J135-$K135)</f>
        <v>0</v>
      </c>
    </row>
    <row r="136" customFormat="false" ht="15" hidden="false" customHeight="false" outlineLevel="0" collapsed="false">
      <c r="A136" s="0" t="s">
        <v>75</v>
      </c>
      <c r="B136" s="0" t="s">
        <v>76</v>
      </c>
      <c r="C136" s="0" t="s">
        <v>252</v>
      </c>
      <c r="D136" s="0" t="n">
        <v>6</v>
      </c>
      <c r="E136" s="0" t="s">
        <v>214</v>
      </c>
      <c r="F136" s="0" t="n">
        <v>4</v>
      </c>
      <c r="G136" s="0" t="n">
        <f aca="false">$D136/$F136</f>
        <v>1.5</v>
      </c>
      <c r="H136" s="0" t="n">
        <f aca="false">SUMIFS(Home!$E$28:$E$39,Home!$B$28:$B$39,$B136)</f>
        <v>0</v>
      </c>
      <c r="I136" s="0" t="n">
        <f aca="false">$G136*$H136</f>
        <v>0</v>
      </c>
      <c r="J136" s="0" t="n">
        <f aca="false">$G136*Home!$D$5</f>
        <v>6</v>
      </c>
      <c r="K136" s="0" t="n">
        <f aca="false">INDEX(Pantry!$I$7:$I$68,MATCH($C136,Pantry!$A$7:$A$68,0))</f>
        <v>8</v>
      </c>
      <c r="L136" s="0" t="n">
        <f aca="false">IF($K136&gt;=$J136-0.0001,1,0)</f>
        <v>1</v>
      </c>
      <c r="M136" s="0" t="n">
        <f aca="false">MAX(0,$J136-$K136)</f>
        <v>0</v>
      </c>
    </row>
    <row r="137" customFormat="false" ht="15" hidden="false" customHeight="false" outlineLevel="0" collapsed="false">
      <c r="A137" s="0" t="s">
        <v>75</v>
      </c>
      <c r="B137" s="0" t="s">
        <v>76</v>
      </c>
      <c r="C137" s="0" t="s">
        <v>253</v>
      </c>
      <c r="D137" s="0" t="n">
        <v>4</v>
      </c>
      <c r="E137" s="0" t="s">
        <v>214</v>
      </c>
      <c r="F137" s="0" t="n">
        <v>4</v>
      </c>
      <c r="G137" s="0" t="n">
        <f aca="false">$D137/$F137</f>
        <v>1</v>
      </c>
      <c r="H137" s="0" t="n">
        <f aca="false">SUMIFS(Home!$E$28:$E$39,Home!$B$28:$B$39,$B137)</f>
        <v>0</v>
      </c>
      <c r="I137" s="0" t="n">
        <f aca="false">$G137*$H137</f>
        <v>0</v>
      </c>
      <c r="J137" s="0" t="n">
        <f aca="false">$G137*Home!$D$5</f>
        <v>4</v>
      </c>
      <c r="K137" s="0" t="n">
        <f aca="false">INDEX(Pantry!$I$7:$I$68,MATCH($C137,Pantry!$A$7:$A$68,0))</f>
        <v>2</v>
      </c>
      <c r="L137" s="0" t="n">
        <f aca="false">IF($K137&gt;=$J137-0.0001,1,0)</f>
        <v>0</v>
      </c>
      <c r="M137" s="0" t="n">
        <f aca="false">MAX(0,$J137-$K137)</f>
        <v>2</v>
      </c>
    </row>
    <row r="138" customFormat="false" ht="15" hidden="false" customHeight="false" outlineLevel="0" collapsed="false">
      <c r="A138" s="0" t="s">
        <v>75</v>
      </c>
      <c r="B138" s="0" t="s">
        <v>76</v>
      </c>
      <c r="C138" s="0" t="s">
        <v>254</v>
      </c>
      <c r="D138" s="0" t="n">
        <v>2</v>
      </c>
      <c r="E138" s="0" t="s">
        <v>214</v>
      </c>
      <c r="F138" s="0" t="n">
        <v>4</v>
      </c>
      <c r="G138" s="0" t="n">
        <f aca="false">$D138/$F138</f>
        <v>0.5</v>
      </c>
      <c r="H138" s="0" t="n">
        <f aca="false">SUMIFS(Home!$E$28:$E$39,Home!$B$28:$B$39,$B138)</f>
        <v>0</v>
      </c>
      <c r="I138" s="0" t="n">
        <f aca="false">$G138*$H138</f>
        <v>0</v>
      </c>
      <c r="J138" s="0" t="n">
        <f aca="false">$G138*Home!$D$5</f>
        <v>2</v>
      </c>
      <c r="K138" s="0" t="n">
        <f aca="false">INDEX(Pantry!$I$7:$I$68,MATCH($C138,Pantry!$A$7:$A$68,0))</f>
        <v>6</v>
      </c>
      <c r="L138" s="0" t="n">
        <f aca="false">IF($K138&gt;=$J138-0.0001,1,0)</f>
        <v>1</v>
      </c>
      <c r="M138" s="0" t="n">
        <f aca="false">MAX(0,$J138-$K138)</f>
        <v>0</v>
      </c>
    </row>
    <row r="139" customFormat="false" ht="15" hidden="false" customHeight="false" outlineLevel="0" collapsed="false">
      <c r="A139" s="0" t="s">
        <v>75</v>
      </c>
      <c r="B139" s="0" t="s">
        <v>76</v>
      </c>
      <c r="C139" s="0" t="s">
        <v>255</v>
      </c>
      <c r="D139" s="0" t="n">
        <v>2</v>
      </c>
      <c r="E139" s="0" t="s">
        <v>214</v>
      </c>
      <c r="F139" s="0" t="n">
        <v>4</v>
      </c>
      <c r="G139" s="0" t="n">
        <f aca="false">$D139/$F139</f>
        <v>0.5</v>
      </c>
      <c r="H139" s="0" t="n">
        <f aca="false">SUMIFS(Home!$E$28:$E$39,Home!$B$28:$B$39,$B139)</f>
        <v>0</v>
      </c>
      <c r="I139" s="0" t="n">
        <f aca="false">$G139*$H139</f>
        <v>0</v>
      </c>
      <c r="J139" s="0" t="n">
        <f aca="false">$G139*Home!$D$5</f>
        <v>2</v>
      </c>
      <c r="K139" s="0" t="n">
        <f aca="false">INDEX(Pantry!$I$7:$I$68,MATCH($C139,Pantry!$A$7:$A$68,0))</f>
        <v>5</v>
      </c>
      <c r="L139" s="0" t="n">
        <f aca="false">IF($K139&gt;=$J139-0.0001,1,0)</f>
        <v>1</v>
      </c>
      <c r="M139" s="0" t="n">
        <f aca="false">MAX(0,$J139-$K139)</f>
        <v>0</v>
      </c>
    </row>
    <row r="140" customFormat="false" ht="15" hidden="false" customHeight="false" outlineLevel="0" collapsed="false">
      <c r="A140" s="0" t="s">
        <v>75</v>
      </c>
      <c r="B140" s="0" t="s">
        <v>76</v>
      </c>
      <c r="C140" s="0" t="s">
        <v>256</v>
      </c>
      <c r="D140" s="0" t="n">
        <v>2</v>
      </c>
      <c r="E140" s="0" t="s">
        <v>223</v>
      </c>
      <c r="F140" s="0" t="n">
        <v>4</v>
      </c>
      <c r="G140" s="0" t="n">
        <f aca="false">$D140/$F140</f>
        <v>0.5</v>
      </c>
      <c r="H140" s="0" t="n">
        <f aca="false">SUMIFS(Home!$E$28:$E$39,Home!$B$28:$B$39,$B140)</f>
        <v>0</v>
      </c>
      <c r="I140" s="0" t="n">
        <f aca="false">$G140*$H140</f>
        <v>0</v>
      </c>
      <c r="J140" s="0" t="n">
        <f aca="false">$G140*Home!$D$5</f>
        <v>2</v>
      </c>
      <c r="K140" s="0" t="n">
        <f aca="false">INDEX(Pantry!$I$7:$I$68,MATCH($C140,Pantry!$A$7:$A$68,0))</f>
        <v>30</v>
      </c>
      <c r="L140" s="0" t="n">
        <f aca="false">IF($K140&gt;=$J140-0.0001,1,0)</f>
        <v>1</v>
      </c>
      <c r="M140" s="0" t="n">
        <f aca="false">MAX(0,$J140-$K140)</f>
        <v>0</v>
      </c>
    </row>
    <row r="141" customFormat="false" ht="15" hidden="false" customHeight="false" outlineLevel="0" collapsed="false">
      <c r="A141" s="0" t="s">
        <v>75</v>
      </c>
      <c r="B141" s="0" t="s">
        <v>76</v>
      </c>
      <c r="C141" s="0" t="s">
        <v>238</v>
      </c>
      <c r="D141" s="0" t="n">
        <v>1</v>
      </c>
      <c r="E141" s="0" t="s">
        <v>223</v>
      </c>
      <c r="F141" s="0" t="n">
        <v>4</v>
      </c>
      <c r="G141" s="0" t="n">
        <f aca="false">$D141/$F141</f>
        <v>0.25</v>
      </c>
      <c r="H141" s="0" t="n">
        <f aca="false">SUMIFS(Home!$E$28:$E$39,Home!$B$28:$B$39,$B141)</f>
        <v>0</v>
      </c>
      <c r="I141" s="0" t="n">
        <f aca="false">$G141*$H141</f>
        <v>0</v>
      </c>
      <c r="J141" s="0" t="n">
        <f aca="false">$G141*Home!$D$5</f>
        <v>1</v>
      </c>
      <c r="K141" s="0" t="n">
        <f aca="false">INDEX(Pantry!$I$7:$I$68,MATCH($C141,Pantry!$A$7:$A$68,0))</f>
        <v>5</v>
      </c>
      <c r="L141" s="0" t="n">
        <f aca="false">IF($K141&gt;=$J141-0.0001,1,0)</f>
        <v>1</v>
      </c>
      <c r="M141" s="0" t="n">
        <f aca="false">MAX(0,$J141-$K141)</f>
        <v>0</v>
      </c>
    </row>
    <row r="142" customFormat="false" ht="15" hidden="false" customHeight="false" outlineLevel="0" collapsed="false">
      <c r="A142" s="0" t="s">
        <v>75</v>
      </c>
      <c r="B142" s="0" t="s">
        <v>76</v>
      </c>
      <c r="C142" s="0" t="s">
        <v>257</v>
      </c>
      <c r="D142" s="0" t="n">
        <v>1</v>
      </c>
      <c r="E142" s="0" t="s">
        <v>209</v>
      </c>
      <c r="F142" s="0" t="n">
        <v>4</v>
      </c>
      <c r="G142" s="0" t="n">
        <f aca="false">$D142/$F142</f>
        <v>0.25</v>
      </c>
      <c r="H142" s="0" t="n">
        <f aca="false">SUMIFS(Home!$E$28:$E$39,Home!$B$28:$B$39,$B142)</f>
        <v>0</v>
      </c>
      <c r="I142" s="0" t="n">
        <f aca="false">$G142*$H142</f>
        <v>0</v>
      </c>
      <c r="J142" s="0" t="n">
        <f aca="false">$G142*Home!$D$5</f>
        <v>1</v>
      </c>
      <c r="K142" s="0" t="n">
        <f aca="false">INDEX(Pantry!$I$7:$I$68,MATCH($C142,Pantry!$A$7:$A$68,0))</f>
        <v>2</v>
      </c>
      <c r="L142" s="0" t="n">
        <f aca="false">IF($K142&gt;=$J142-0.0001,1,0)</f>
        <v>1</v>
      </c>
      <c r="M142" s="0" t="n">
        <f aca="false">MAX(0,$J142-$K142)</f>
        <v>0</v>
      </c>
    </row>
    <row r="143" customFormat="false" ht="15" hidden="false" customHeight="false" outlineLevel="0" collapsed="false">
      <c r="A143" s="0" t="s">
        <v>75</v>
      </c>
      <c r="B143" s="0" t="s">
        <v>76</v>
      </c>
      <c r="C143" s="0" t="s">
        <v>258</v>
      </c>
      <c r="D143" s="0" t="n">
        <v>2</v>
      </c>
      <c r="E143" s="0" t="s">
        <v>209</v>
      </c>
      <c r="F143" s="0" t="n">
        <v>4</v>
      </c>
      <c r="G143" s="0" t="n">
        <f aca="false">$D143/$F143</f>
        <v>0.5</v>
      </c>
      <c r="H143" s="0" t="n">
        <f aca="false">SUMIFS(Home!$E$28:$E$39,Home!$B$28:$B$39,$B143)</f>
        <v>0</v>
      </c>
      <c r="I143" s="0" t="n">
        <f aca="false">$G143*$H143</f>
        <v>0</v>
      </c>
      <c r="J143" s="0" t="n">
        <f aca="false">$G143*Home!$D$5</f>
        <v>2</v>
      </c>
      <c r="K143" s="0" t="n">
        <f aca="false">INDEX(Pantry!$I$7:$I$68,MATCH($C143,Pantry!$A$7:$A$68,0))</f>
        <v>0</v>
      </c>
      <c r="L143" s="0" t="n">
        <f aca="false">IF($K143&gt;=$J143-0.0001,1,0)</f>
        <v>0</v>
      </c>
      <c r="M143" s="0" t="n">
        <f aca="false">MAX(0,$J143-$K143)</f>
        <v>2</v>
      </c>
    </row>
    <row r="144" customFormat="false" ht="15" hidden="false" customHeight="false" outlineLevel="0" collapsed="false">
      <c r="A144" s="0" t="s">
        <v>75</v>
      </c>
      <c r="B144" s="0" t="s">
        <v>76</v>
      </c>
      <c r="C144" s="0" t="s">
        <v>216</v>
      </c>
      <c r="D144" s="0" t="n">
        <v>1</v>
      </c>
      <c r="E144" s="0" t="s">
        <v>212</v>
      </c>
      <c r="F144" s="0" t="n">
        <v>4</v>
      </c>
      <c r="G144" s="0" t="n">
        <f aca="false">$D144/$F144</f>
        <v>0.25</v>
      </c>
      <c r="H144" s="0" t="n">
        <f aca="false">SUMIFS(Home!$E$28:$E$39,Home!$B$28:$B$39,$B144)</f>
        <v>0</v>
      </c>
      <c r="I144" s="0" t="n">
        <f aca="false">$G144*$H144</f>
        <v>0</v>
      </c>
      <c r="J144" s="0" t="n">
        <f aca="false">$G144*Home!$D$5</f>
        <v>1</v>
      </c>
      <c r="K144" s="0" t="n">
        <f aca="false">INDEX(Pantry!$I$7:$I$68,MATCH($C144,Pantry!$A$7:$A$68,0))</f>
        <v>5</v>
      </c>
      <c r="L144" s="0" t="n">
        <f aca="false">IF($K144&gt;=$J144-0.0001,1,0)</f>
        <v>1</v>
      </c>
      <c r="M144" s="0" t="n">
        <f aca="false">MAX(0,$J144-$K144)</f>
        <v>0</v>
      </c>
    </row>
    <row r="145" customFormat="false" ht="15" hidden="false" customHeight="false" outlineLevel="0" collapsed="false">
      <c r="A145" s="0" t="s">
        <v>75</v>
      </c>
      <c r="B145" s="0" t="s">
        <v>76</v>
      </c>
      <c r="C145" s="0" t="s">
        <v>222</v>
      </c>
      <c r="D145" s="0" t="n">
        <v>1</v>
      </c>
      <c r="E145" s="0" t="s">
        <v>223</v>
      </c>
      <c r="F145" s="0" t="n">
        <v>4</v>
      </c>
      <c r="G145" s="0" t="n">
        <f aca="false">$D145/$F145</f>
        <v>0.25</v>
      </c>
      <c r="H145" s="0" t="n">
        <f aca="false">SUMIFS(Home!$E$28:$E$39,Home!$B$28:$B$39,$B145)</f>
        <v>0</v>
      </c>
      <c r="I145" s="0" t="n">
        <f aca="false">$G145*$H145</f>
        <v>0</v>
      </c>
      <c r="J145" s="0" t="n">
        <f aca="false">$G145*Home!$D$5</f>
        <v>1</v>
      </c>
      <c r="K145" s="0" t="n">
        <f aca="false">INDEX(Pantry!$I$7:$I$68,MATCH($C145,Pantry!$A$7:$A$68,0))</f>
        <v>50</v>
      </c>
      <c r="L145" s="0" t="n">
        <f aca="false">IF($K145&gt;=$J145-0.0001,1,0)</f>
        <v>1</v>
      </c>
      <c r="M145" s="0" t="n">
        <f aca="false">MAX(0,$J145-$K145)</f>
        <v>0</v>
      </c>
    </row>
    <row r="146" customFormat="false" ht="15" hidden="false" customHeight="false" outlineLevel="0" collapsed="false">
      <c r="A146" s="0" t="s">
        <v>75</v>
      </c>
      <c r="B146" s="0" t="s">
        <v>76</v>
      </c>
      <c r="C146" s="0" t="s">
        <v>213</v>
      </c>
      <c r="D146" s="0" t="n">
        <v>1</v>
      </c>
      <c r="E146" s="0" t="s">
        <v>214</v>
      </c>
      <c r="F146" s="0" t="n">
        <v>4</v>
      </c>
      <c r="G146" s="0" t="n">
        <f aca="false">$D146/$F146</f>
        <v>0.25</v>
      </c>
      <c r="H146" s="0" t="n">
        <f aca="false">SUMIFS(Home!$E$28:$E$39,Home!$B$28:$B$39,$B146)</f>
        <v>0</v>
      </c>
      <c r="I146" s="0" t="n">
        <f aca="false">$G146*$H146</f>
        <v>0</v>
      </c>
      <c r="J146" s="0" t="n">
        <f aca="false">$G146*Home!$D$5</f>
        <v>1</v>
      </c>
      <c r="K146" s="0" t="n">
        <f aca="false">INDEX(Pantry!$I$7:$I$68,MATCH($C146,Pantry!$A$7:$A$68,0))</f>
        <v>1</v>
      </c>
      <c r="L146" s="0" t="n">
        <f aca="false">IF($K146&gt;=$J146-0.0001,1,0)</f>
        <v>1</v>
      </c>
      <c r="M146" s="0" t="n">
        <f aca="false">MAX(0,$J146-$K146)</f>
        <v>0</v>
      </c>
    </row>
    <row r="147" customFormat="false" ht="15" hidden="false" customHeight="false" outlineLevel="0" collapsed="false">
      <c r="A147" s="0" t="s">
        <v>79</v>
      </c>
      <c r="B147" s="0" t="s">
        <v>80</v>
      </c>
      <c r="C147" s="0" t="s">
        <v>207</v>
      </c>
      <c r="D147" s="0" t="n">
        <v>0.5</v>
      </c>
      <c r="E147" s="0" t="s">
        <v>206</v>
      </c>
      <c r="F147" s="0" t="n">
        <v>4</v>
      </c>
      <c r="G147" s="0" t="n">
        <f aca="false">$D147/$F147</f>
        <v>0.125</v>
      </c>
      <c r="H147" s="0" t="n">
        <f aca="false">SUMIFS(Home!$E$28:$E$39,Home!$B$28:$B$39,$B147)</f>
        <v>0</v>
      </c>
      <c r="I147" s="0" t="n">
        <f aca="false">$G147*$H147</f>
        <v>0</v>
      </c>
      <c r="J147" s="0" t="n">
        <f aca="false">$G147*Home!$D$5</f>
        <v>0.5</v>
      </c>
      <c r="K147" s="0" t="n">
        <f aca="false">INDEX(Pantry!$I$7:$I$68,MATCH($C147,Pantry!$A$7:$A$68,0))</f>
        <v>3</v>
      </c>
      <c r="L147" s="0" t="n">
        <f aca="false">IF($K147&gt;=$J147-0.0001,1,0)</f>
        <v>1</v>
      </c>
      <c r="M147" s="0" t="n">
        <f aca="false">MAX(0,$J147-$K147)</f>
        <v>0</v>
      </c>
    </row>
    <row r="148" customFormat="false" ht="15" hidden="false" customHeight="false" outlineLevel="0" collapsed="false">
      <c r="A148" s="0" t="s">
        <v>79</v>
      </c>
      <c r="B148" s="0" t="s">
        <v>80</v>
      </c>
      <c r="C148" s="0" t="s">
        <v>250</v>
      </c>
      <c r="D148" s="0" t="n">
        <v>2</v>
      </c>
      <c r="E148" s="0" t="s">
        <v>209</v>
      </c>
      <c r="F148" s="0" t="n">
        <v>4</v>
      </c>
      <c r="G148" s="0" t="n">
        <f aca="false">$D148/$F148</f>
        <v>0.5</v>
      </c>
      <c r="H148" s="0" t="n">
        <f aca="false">SUMIFS(Home!$E$28:$E$39,Home!$B$28:$B$39,$B148)</f>
        <v>0</v>
      </c>
      <c r="I148" s="0" t="n">
        <f aca="false">$G148*$H148</f>
        <v>0</v>
      </c>
      <c r="J148" s="0" t="n">
        <f aca="false">$G148*Home!$D$5</f>
        <v>2</v>
      </c>
      <c r="K148" s="0" t="n">
        <f aca="false">INDEX(Pantry!$I$7:$I$68,MATCH($C148,Pantry!$A$7:$A$68,0))</f>
        <v>6</v>
      </c>
      <c r="L148" s="0" t="n">
        <f aca="false">IF($K148&gt;=$J148-0.0001,1,0)</f>
        <v>1</v>
      </c>
      <c r="M148" s="0" t="n">
        <f aca="false">MAX(0,$J148-$K148)</f>
        <v>0</v>
      </c>
    </row>
    <row r="149" customFormat="false" ht="15" hidden="false" customHeight="false" outlineLevel="0" collapsed="false">
      <c r="A149" s="0" t="s">
        <v>79</v>
      </c>
      <c r="B149" s="0" t="s">
        <v>80</v>
      </c>
      <c r="C149" s="0" t="s">
        <v>259</v>
      </c>
      <c r="D149" s="0" t="n">
        <v>1</v>
      </c>
      <c r="E149" s="0" t="s">
        <v>209</v>
      </c>
      <c r="F149" s="0" t="n">
        <v>4</v>
      </c>
      <c r="G149" s="0" t="n">
        <f aca="false">$D149/$F149</f>
        <v>0.25</v>
      </c>
      <c r="H149" s="0" t="n">
        <f aca="false">SUMIFS(Home!$E$28:$E$39,Home!$B$28:$B$39,$B149)</f>
        <v>0</v>
      </c>
      <c r="I149" s="0" t="n">
        <f aca="false">$G149*$H149</f>
        <v>0</v>
      </c>
      <c r="J149" s="0" t="n">
        <f aca="false">$G149*Home!$D$5</f>
        <v>1</v>
      </c>
      <c r="K149" s="0" t="n">
        <f aca="false">INDEX(Pantry!$I$7:$I$68,MATCH($C149,Pantry!$A$7:$A$68,0))</f>
        <v>3</v>
      </c>
      <c r="L149" s="0" t="n">
        <f aca="false">IF($K149&gt;=$J149-0.0001,1,0)</f>
        <v>1</v>
      </c>
      <c r="M149" s="0" t="n">
        <f aca="false">MAX(0,$J149-$K149)</f>
        <v>0</v>
      </c>
    </row>
    <row r="150" customFormat="false" ht="15" hidden="false" customHeight="false" outlineLevel="0" collapsed="false">
      <c r="A150" s="0" t="s">
        <v>79</v>
      </c>
      <c r="B150" s="0" t="s">
        <v>80</v>
      </c>
      <c r="C150" s="0" t="s">
        <v>260</v>
      </c>
      <c r="D150" s="0" t="n">
        <v>200</v>
      </c>
      <c r="E150" s="0" t="s">
        <v>231</v>
      </c>
      <c r="F150" s="0" t="n">
        <v>4</v>
      </c>
      <c r="G150" s="0" t="n">
        <f aca="false">$D150/$F150</f>
        <v>50</v>
      </c>
      <c r="H150" s="0" t="n">
        <f aca="false">SUMIFS(Home!$E$28:$E$39,Home!$B$28:$B$39,$B150)</f>
        <v>0</v>
      </c>
      <c r="I150" s="0" t="n">
        <f aca="false">$G150*$H150</f>
        <v>0</v>
      </c>
      <c r="J150" s="0" t="n">
        <f aca="false">$G150*Home!$D$5</f>
        <v>200</v>
      </c>
      <c r="K150" s="0" t="n">
        <f aca="false">INDEX(Pantry!$I$7:$I$68,MATCH($C150,Pantry!$A$7:$A$68,0))</f>
        <v>0</v>
      </c>
      <c r="L150" s="0" t="n">
        <f aca="false">IF($K150&gt;=$J150-0.0001,1,0)</f>
        <v>0</v>
      </c>
      <c r="M150" s="0" t="n">
        <f aca="false">MAX(0,$J150-$K150)</f>
        <v>200</v>
      </c>
    </row>
    <row r="151" customFormat="false" ht="15" hidden="false" customHeight="false" outlineLevel="0" collapsed="false">
      <c r="A151" s="0" t="s">
        <v>79</v>
      </c>
      <c r="B151" s="0" t="s">
        <v>80</v>
      </c>
      <c r="C151" s="0" t="s">
        <v>258</v>
      </c>
      <c r="D151" s="0" t="n">
        <v>3</v>
      </c>
      <c r="E151" s="0" t="s">
        <v>209</v>
      </c>
      <c r="F151" s="0" t="n">
        <v>4</v>
      </c>
      <c r="G151" s="0" t="n">
        <f aca="false">$D151/$F151</f>
        <v>0.75</v>
      </c>
      <c r="H151" s="0" t="n">
        <f aca="false">SUMIFS(Home!$E$28:$E$39,Home!$B$28:$B$39,$B151)</f>
        <v>0</v>
      </c>
      <c r="I151" s="0" t="n">
        <f aca="false">$G151*$H151</f>
        <v>0</v>
      </c>
      <c r="J151" s="0" t="n">
        <f aca="false">$G151*Home!$D$5</f>
        <v>3</v>
      </c>
      <c r="K151" s="0" t="n">
        <f aca="false">INDEX(Pantry!$I$7:$I$68,MATCH($C151,Pantry!$A$7:$A$68,0))</f>
        <v>0</v>
      </c>
      <c r="L151" s="0" t="n">
        <f aca="false">IF($K151&gt;=$J151-0.0001,1,0)</f>
        <v>0</v>
      </c>
      <c r="M151" s="0" t="n">
        <f aca="false">MAX(0,$J151-$K151)</f>
        <v>3</v>
      </c>
    </row>
    <row r="152" customFormat="false" ht="15" hidden="false" customHeight="false" outlineLevel="0" collapsed="false">
      <c r="A152" s="0" t="s">
        <v>79</v>
      </c>
      <c r="B152" s="0" t="s">
        <v>80</v>
      </c>
      <c r="C152" s="0" t="s">
        <v>254</v>
      </c>
      <c r="D152" s="0" t="n">
        <v>2</v>
      </c>
      <c r="E152" s="0" t="s">
        <v>214</v>
      </c>
      <c r="F152" s="0" t="n">
        <v>4</v>
      </c>
      <c r="G152" s="0" t="n">
        <f aca="false">$D152/$F152</f>
        <v>0.5</v>
      </c>
      <c r="H152" s="0" t="n">
        <f aca="false">SUMIFS(Home!$E$28:$E$39,Home!$B$28:$B$39,$B152)</f>
        <v>0</v>
      </c>
      <c r="I152" s="0" t="n">
        <f aca="false">$G152*$H152</f>
        <v>0</v>
      </c>
      <c r="J152" s="0" t="n">
        <f aca="false">$G152*Home!$D$5</f>
        <v>2</v>
      </c>
      <c r="K152" s="0" t="n">
        <f aca="false">INDEX(Pantry!$I$7:$I$68,MATCH($C152,Pantry!$A$7:$A$68,0))</f>
        <v>6</v>
      </c>
      <c r="L152" s="0" t="n">
        <f aca="false">IF($K152&gt;=$J152-0.0001,1,0)</f>
        <v>1</v>
      </c>
      <c r="M152" s="0" t="n">
        <f aca="false">MAX(0,$J152-$K152)</f>
        <v>0</v>
      </c>
    </row>
    <row r="153" customFormat="false" ht="15" hidden="false" customHeight="false" outlineLevel="0" collapsed="false">
      <c r="A153" s="0" t="s">
        <v>79</v>
      </c>
      <c r="B153" s="0" t="s">
        <v>80</v>
      </c>
      <c r="C153" s="0" t="s">
        <v>255</v>
      </c>
      <c r="D153" s="0" t="n">
        <v>1</v>
      </c>
      <c r="E153" s="0" t="s">
        <v>214</v>
      </c>
      <c r="F153" s="0" t="n">
        <v>4</v>
      </c>
      <c r="G153" s="0" t="n">
        <f aca="false">$D153/$F153</f>
        <v>0.25</v>
      </c>
      <c r="H153" s="0" t="n">
        <f aca="false">SUMIFS(Home!$E$28:$E$39,Home!$B$28:$B$39,$B153)</f>
        <v>0</v>
      </c>
      <c r="I153" s="0" t="n">
        <f aca="false">$G153*$H153</f>
        <v>0</v>
      </c>
      <c r="J153" s="0" t="n">
        <f aca="false">$G153*Home!$D$5</f>
        <v>1</v>
      </c>
      <c r="K153" s="0" t="n">
        <f aca="false">INDEX(Pantry!$I$7:$I$68,MATCH($C153,Pantry!$A$7:$A$68,0))</f>
        <v>5</v>
      </c>
      <c r="L153" s="0" t="n">
        <f aca="false">IF($K153&gt;=$J153-0.0001,1,0)</f>
        <v>1</v>
      </c>
      <c r="M153" s="0" t="n">
        <f aca="false">MAX(0,$J153-$K153)</f>
        <v>0</v>
      </c>
    </row>
    <row r="154" customFormat="false" ht="15" hidden="false" customHeight="false" outlineLevel="0" collapsed="false">
      <c r="A154" s="0" t="s">
        <v>79</v>
      </c>
      <c r="B154" s="0" t="s">
        <v>80</v>
      </c>
      <c r="C154" s="0" t="s">
        <v>238</v>
      </c>
      <c r="D154" s="0" t="n">
        <v>1</v>
      </c>
      <c r="E154" s="0" t="s">
        <v>223</v>
      </c>
      <c r="F154" s="0" t="n">
        <v>4</v>
      </c>
      <c r="G154" s="0" t="n">
        <f aca="false">$D154/$F154</f>
        <v>0.25</v>
      </c>
      <c r="H154" s="0" t="n">
        <f aca="false">SUMIFS(Home!$E$28:$E$39,Home!$B$28:$B$39,$B154)</f>
        <v>0</v>
      </c>
      <c r="I154" s="0" t="n">
        <f aca="false">$G154*$H154</f>
        <v>0</v>
      </c>
      <c r="J154" s="0" t="n">
        <f aca="false">$G154*Home!$D$5</f>
        <v>1</v>
      </c>
      <c r="K154" s="0" t="n">
        <f aca="false">INDEX(Pantry!$I$7:$I$68,MATCH($C154,Pantry!$A$7:$A$68,0))</f>
        <v>5</v>
      </c>
      <c r="L154" s="0" t="n">
        <f aca="false">IF($K154&gt;=$J154-0.0001,1,0)</f>
        <v>1</v>
      </c>
      <c r="M154" s="0" t="n">
        <f aca="false">MAX(0,$J154-$K154)</f>
        <v>0</v>
      </c>
    </row>
    <row r="155" customFormat="false" ht="15" hidden="false" customHeight="false" outlineLevel="0" collapsed="false">
      <c r="A155" s="0" t="s">
        <v>79</v>
      </c>
      <c r="B155" s="0" t="s">
        <v>80</v>
      </c>
      <c r="C155" s="0" t="s">
        <v>222</v>
      </c>
      <c r="D155" s="0" t="n">
        <v>1</v>
      </c>
      <c r="E155" s="0" t="s">
        <v>223</v>
      </c>
      <c r="F155" s="0" t="n">
        <v>4</v>
      </c>
      <c r="G155" s="0" t="n">
        <f aca="false">$D155/$F155</f>
        <v>0.25</v>
      </c>
      <c r="H155" s="0" t="n">
        <f aca="false">SUMIFS(Home!$E$28:$E$39,Home!$B$28:$B$39,$B155)</f>
        <v>0</v>
      </c>
      <c r="I155" s="0" t="n">
        <f aca="false">$G155*$H155</f>
        <v>0</v>
      </c>
      <c r="J155" s="0" t="n">
        <f aca="false">$G155*Home!$D$5</f>
        <v>1</v>
      </c>
      <c r="K155" s="0" t="n">
        <f aca="false">INDEX(Pantry!$I$7:$I$68,MATCH($C155,Pantry!$A$7:$A$68,0))</f>
        <v>50</v>
      </c>
      <c r="L155" s="0" t="n">
        <f aca="false">IF($K155&gt;=$J155-0.0001,1,0)</f>
        <v>1</v>
      </c>
      <c r="M155" s="0" t="n">
        <f aca="false">MAX(0,$J155-$K155)</f>
        <v>0</v>
      </c>
    </row>
    <row r="156" customFormat="false" ht="15" hidden="false" customHeight="false" outlineLevel="0" collapsed="false">
      <c r="A156" s="0" t="s">
        <v>79</v>
      </c>
      <c r="B156" s="0" t="s">
        <v>80</v>
      </c>
      <c r="C156" s="0" t="s">
        <v>216</v>
      </c>
      <c r="D156" s="0" t="n">
        <v>0.5</v>
      </c>
      <c r="E156" s="0" t="s">
        <v>212</v>
      </c>
      <c r="F156" s="0" t="n">
        <v>4</v>
      </c>
      <c r="G156" s="0" t="n">
        <f aca="false">$D156/$F156</f>
        <v>0.125</v>
      </c>
      <c r="H156" s="0" t="n">
        <f aca="false">SUMIFS(Home!$E$28:$E$39,Home!$B$28:$B$39,$B156)</f>
        <v>0</v>
      </c>
      <c r="I156" s="0" t="n">
        <f aca="false">$G156*$H156</f>
        <v>0</v>
      </c>
      <c r="J156" s="0" t="n">
        <f aca="false">$G156*Home!$D$5</f>
        <v>0.5</v>
      </c>
      <c r="K156" s="0" t="n">
        <f aca="false">INDEX(Pantry!$I$7:$I$68,MATCH($C156,Pantry!$A$7:$A$68,0))</f>
        <v>5</v>
      </c>
      <c r="L156" s="0" t="n">
        <f aca="false">IF($K156&gt;=$J156-0.0001,1,0)</f>
        <v>1</v>
      </c>
      <c r="M156" s="0" t="n">
        <f aca="false">MAX(0,$J156-$K156)</f>
        <v>0</v>
      </c>
    </row>
    <row r="157" customFormat="false" ht="15" hidden="false" customHeight="false" outlineLevel="0" collapsed="false">
      <c r="A157" s="0" t="s">
        <v>79</v>
      </c>
      <c r="B157" s="0" t="s">
        <v>80</v>
      </c>
      <c r="C157" s="0" t="s">
        <v>257</v>
      </c>
      <c r="D157" s="0" t="n">
        <v>1</v>
      </c>
      <c r="E157" s="0" t="s">
        <v>209</v>
      </c>
      <c r="F157" s="0" t="n">
        <v>4</v>
      </c>
      <c r="G157" s="0" t="n">
        <f aca="false">$D157/$F157</f>
        <v>0.25</v>
      </c>
      <c r="H157" s="0" t="n">
        <f aca="false">SUMIFS(Home!$E$28:$E$39,Home!$B$28:$B$39,$B157)</f>
        <v>0</v>
      </c>
      <c r="I157" s="0" t="n">
        <f aca="false">$G157*$H157</f>
        <v>0</v>
      </c>
      <c r="J157" s="0" t="n">
        <f aca="false">$G157*Home!$D$5</f>
        <v>1</v>
      </c>
      <c r="K157" s="0" t="n">
        <f aca="false">INDEX(Pantry!$I$7:$I$68,MATCH($C157,Pantry!$A$7:$A$68,0))</f>
        <v>2</v>
      </c>
      <c r="L157" s="0" t="n">
        <f aca="false">IF($K157&gt;=$J157-0.0001,1,0)</f>
        <v>1</v>
      </c>
      <c r="M157" s="0" t="n">
        <f aca="false">MAX(0,$J157-$K157)</f>
        <v>0</v>
      </c>
    </row>
    <row r="158" customFormat="false" ht="15" hidden="false" customHeight="false" outlineLevel="0" collapsed="false">
      <c r="A158" s="0" t="s">
        <v>83</v>
      </c>
      <c r="B158" s="0" t="s">
        <v>84</v>
      </c>
      <c r="C158" s="0" t="s">
        <v>261</v>
      </c>
      <c r="D158" s="0" t="n">
        <v>250</v>
      </c>
      <c r="E158" s="0" t="s">
        <v>231</v>
      </c>
      <c r="F158" s="0" t="n">
        <v>4</v>
      </c>
      <c r="G158" s="0" t="n">
        <f aca="false">$D158/$F158</f>
        <v>62.5</v>
      </c>
      <c r="H158" s="0" t="n">
        <f aca="false">SUMIFS(Home!$E$28:$E$39,Home!$B$28:$B$39,$B158)</f>
        <v>0</v>
      </c>
      <c r="I158" s="0" t="n">
        <f aca="false">$G158*$H158</f>
        <v>0</v>
      </c>
      <c r="J158" s="0" t="n">
        <f aca="false">$G158*Home!$D$5</f>
        <v>250</v>
      </c>
      <c r="K158" s="0" t="n">
        <f aca="false">INDEX(Pantry!$I$7:$I$68,MATCH($C158,Pantry!$A$7:$A$68,0))</f>
        <v>0</v>
      </c>
      <c r="L158" s="0" t="n">
        <f aca="false">IF($K158&gt;=$J158-0.0001,1,0)</f>
        <v>0</v>
      </c>
      <c r="M158" s="0" t="n">
        <f aca="false">MAX(0,$J158-$K158)</f>
        <v>250</v>
      </c>
    </row>
    <row r="159" customFormat="false" ht="15" hidden="false" customHeight="false" outlineLevel="0" collapsed="false">
      <c r="A159" s="0" t="s">
        <v>83</v>
      </c>
      <c r="B159" s="0" t="s">
        <v>84</v>
      </c>
      <c r="C159" s="0" t="s">
        <v>205</v>
      </c>
      <c r="D159" s="0" t="n">
        <v>0.25</v>
      </c>
      <c r="E159" s="0" t="s">
        <v>206</v>
      </c>
      <c r="F159" s="0" t="n">
        <v>4</v>
      </c>
      <c r="G159" s="0" t="n">
        <f aca="false">$D159/$F159</f>
        <v>0.0625</v>
      </c>
      <c r="H159" s="0" t="n">
        <f aca="false">SUMIFS(Home!$E$28:$E$39,Home!$B$28:$B$39,$B159)</f>
        <v>0</v>
      </c>
      <c r="I159" s="0" t="n">
        <f aca="false">$G159*$H159</f>
        <v>0</v>
      </c>
      <c r="J159" s="0" t="n">
        <f aca="false">$G159*Home!$D$5</f>
        <v>0.25</v>
      </c>
      <c r="K159" s="0" t="n">
        <f aca="false">INDEX(Pantry!$I$7:$I$68,MATCH($C159,Pantry!$A$7:$A$68,0))</f>
        <v>1</v>
      </c>
      <c r="L159" s="0" t="n">
        <f aca="false">IF($K159&gt;=$J159-0.0001,1,0)</f>
        <v>1</v>
      </c>
      <c r="M159" s="0" t="n">
        <f aca="false">MAX(0,$J159-$K159)</f>
        <v>0</v>
      </c>
    </row>
    <row r="160" customFormat="false" ht="15" hidden="false" customHeight="false" outlineLevel="0" collapsed="false">
      <c r="A160" s="0" t="s">
        <v>83</v>
      </c>
      <c r="B160" s="0" t="s">
        <v>84</v>
      </c>
      <c r="C160" s="0" t="s">
        <v>208</v>
      </c>
      <c r="D160" s="0" t="n">
        <v>1</v>
      </c>
      <c r="E160" s="0" t="s">
        <v>209</v>
      </c>
      <c r="F160" s="0" t="n">
        <v>4</v>
      </c>
      <c r="G160" s="0" t="n">
        <f aca="false">$D160/$F160</f>
        <v>0.25</v>
      </c>
      <c r="H160" s="0" t="n">
        <f aca="false">SUMIFS(Home!$E$28:$E$39,Home!$B$28:$B$39,$B160)</f>
        <v>0</v>
      </c>
      <c r="I160" s="0" t="n">
        <f aca="false">$G160*$H160</f>
        <v>0</v>
      </c>
      <c r="J160" s="0" t="n">
        <f aca="false">$G160*Home!$D$5</f>
        <v>1</v>
      </c>
      <c r="K160" s="0" t="n">
        <f aca="false">INDEX(Pantry!$I$7:$I$68,MATCH($C160,Pantry!$A$7:$A$68,0))</f>
        <v>6</v>
      </c>
      <c r="L160" s="0" t="n">
        <f aca="false">IF($K160&gt;=$J160-0.0001,1,0)</f>
        <v>1</v>
      </c>
      <c r="M160" s="0" t="n">
        <f aca="false">MAX(0,$J160-$K160)</f>
        <v>0</v>
      </c>
    </row>
    <row r="161" customFormat="false" ht="15" hidden="false" customHeight="false" outlineLevel="0" collapsed="false">
      <c r="A161" s="0" t="s">
        <v>83</v>
      </c>
      <c r="B161" s="0" t="s">
        <v>84</v>
      </c>
      <c r="C161" s="0" t="s">
        <v>210</v>
      </c>
      <c r="D161" s="0" t="n">
        <v>2</v>
      </c>
      <c r="E161" s="0" t="s">
        <v>209</v>
      </c>
      <c r="F161" s="0" t="n">
        <v>4</v>
      </c>
      <c r="G161" s="0" t="n">
        <f aca="false">$D161/$F161</f>
        <v>0.5</v>
      </c>
      <c r="H161" s="0" t="n">
        <f aca="false">SUMIFS(Home!$E$28:$E$39,Home!$B$28:$B$39,$B161)</f>
        <v>0</v>
      </c>
      <c r="I161" s="0" t="n">
        <f aca="false">$G161*$H161</f>
        <v>0</v>
      </c>
      <c r="J161" s="0" t="n">
        <f aca="false">$G161*Home!$D$5</f>
        <v>2</v>
      </c>
      <c r="K161" s="0" t="n">
        <f aca="false">INDEX(Pantry!$I$7:$I$68,MATCH($C161,Pantry!$A$7:$A$68,0))</f>
        <v>4</v>
      </c>
      <c r="L161" s="0" t="n">
        <f aca="false">IF($K161&gt;=$J161-0.0001,1,0)</f>
        <v>1</v>
      </c>
      <c r="M161" s="0" t="n">
        <f aca="false">MAX(0,$J161-$K161)</f>
        <v>0</v>
      </c>
    </row>
    <row r="162" customFormat="false" ht="15" hidden="false" customHeight="false" outlineLevel="0" collapsed="false">
      <c r="A162" s="0" t="s">
        <v>83</v>
      </c>
      <c r="B162" s="0" t="s">
        <v>84</v>
      </c>
      <c r="C162" s="0" t="s">
        <v>213</v>
      </c>
      <c r="D162" s="0" t="n">
        <v>1</v>
      </c>
      <c r="E162" s="0" t="s">
        <v>214</v>
      </c>
      <c r="F162" s="0" t="n">
        <v>4</v>
      </c>
      <c r="G162" s="0" t="n">
        <f aca="false">$D162/$F162</f>
        <v>0.25</v>
      </c>
      <c r="H162" s="0" t="n">
        <f aca="false">SUMIFS(Home!$E$28:$E$39,Home!$B$28:$B$39,$B162)</f>
        <v>0</v>
      </c>
      <c r="I162" s="0" t="n">
        <f aca="false">$G162*$H162</f>
        <v>0</v>
      </c>
      <c r="J162" s="0" t="n">
        <f aca="false">$G162*Home!$D$5</f>
        <v>1</v>
      </c>
      <c r="K162" s="0" t="n">
        <f aca="false">INDEX(Pantry!$I$7:$I$68,MATCH($C162,Pantry!$A$7:$A$68,0))</f>
        <v>1</v>
      </c>
      <c r="L162" s="0" t="n">
        <f aca="false">IF($K162&gt;=$J162-0.0001,1,0)</f>
        <v>1</v>
      </c>
      <c r="M162" s="0" t="n">
        <f aca="false">MAX(0,$J162-$K162)</f>
        <v>0</v>
      </c>
    </row>
    <row r="163" customFormat="false" ht="15" hidden="false" customHeight="false" outlineLevel="0" collapsed="false">
      <c r="A163" s="0" t="s">
        <v>83</v>
      </c>
      <c r="B163" s="0" t="s">
        <v>84</v>
      </c>
      <c r="C163" s="0" t="s">
        <v>232</v>
      </c>
      <c r="D163" s="0" t="n">
        <v>1</v>
      </c>
      <c r="E163" s="0" t="s">
        <v>223</v>
      </c>
      <c r="F163" s="0" t="n">
        <v>4</v>
      </c>
      <c r="G163" s="0" t="n">
        <f aca="false">$D163/$F163</f>
        <v>0.25</v>
      </c>
      <c r="H163" s="0" t="n">
        <f aca="false">SUMIFS(Home!$E$28:$E$39,Home!$B$28:$B$39,$B163)</f>
        <v>0</v>
      </c>
      <c r="I163" s="0" t="n">
        <f aca="false">$G163*$H163</f>
        <v>0</v>
      </c>
      <c r="J163" s="0" t="n">
        <f aca="false">$G163*Home!$D$5</f>
        <v>1</v>
      </c>
      <c r="K163" s="0" t="n">
        <f aca="false">INDEX(Pantry!$I$7:$I$68,MATCH($C163,Pantry!$A$7:$A$68,0))</f>
        <v>20</v>
      </c>
      <c r="L163" s="0" t="n">
        <f aca="false">IF($K163&gt;=$J163-0.0001,1,0)</f>
        <v>1</v>
      </c>
      <c r="M163" s="0" t="n">
        <f aca="false">MAX(0,$J163-$K163)</f>
        <v>0</v>
      </c>
    </row>
    <row r="164" customFormat="false" ht="15" hidden="false" customHeight="false" outlineLevel="0" collapsed="false">
      <c r="A164" s="0" t="s">
        <v>83</v>
      </c>
      <c r="B164" s="0" t="s">
        <v>84</v>
      </c>
      <c r="C164" s="0" t="s">
        <v>238</v>
      </c>
      <c r="D164" s="0" t="n">
        <v>1</v>
      </c>
      <c r="E164" s="0" t="s">
        <v>223</v>
      </c>
      <c r="F164" s="0" t="n">
        <v>4</v>
      </c>
      <c r="G164" s="0" t="n">
        <f aca="false">$D164/$F164</f>
        <v>0.25</v>
      </c>
      <c r="H164" s="0" t="n">
        <f aca="false">SUMIFS(Home!$E$28:$E$39,Home!$B$28:$B$39,$B164)</f>
        <v>0</v>
      </c>
      <c r="I164" s="0" t="n">
        <f aca="false">$G164*$H164</f>
        <v>0</v>
      </c>
      <c r="J164" s="0" t="n">
        <f aca="false">$G164*Home!$D$5</f>
        <v>1</v>
      </c>
      <c r="K164" s="0" t="n">
        <f aca="false">INDEX(Pantry!$I$7:$I$68,MATCH($C164,Pantry!$A$7:$A$68,0))</f>
        <v>5</v>
      </c>
      <c r="L164" s="0" t="n">
        <f aca="false">IF($K164&gt;=$J164-0.0001,1,0)</f>
        <v>1</v>
      </c>
      <c r="M164" s="0" t="n">
        <f aca="false">MAX(0,$J164-$K164)</f>
        <v>0</v>
      </c>
    </row>
    <row r="165" customFormat="false" ht="15" hidden="false" customHeight="false" outlineLevel="0" collapsed="false">
      <c r="A165" s="0" t="s">
        <v>83</v>
      </c>
      <c r="B165" s="0" t="s">
        <v>84</v>
      </c>
      <c r="C165" s="0" t="s">
        <v>252</v>
      </c>
      <c r="D165" s="0" t="n">
        <v>4</v>
      </c>
      <c r="E165" s="0" t="s">
        <v>214</v>
      </c>
      <c r="F165" s="0" t="n">
        <v>4</v>
      </c>
      <c r="G165" s="0" t="n">
        <f aca="false">$D165/$F165</f>
        <v>1</v>
      </c>
      <c r="H165" s="0" t="n">
        <f aca="false">SUMIFS(Home!$E$28:$E$39,Home!$B$28:$B$39,$B165)</f>
        <v>0</v>
      </c>
      <c r="I165" s="0" t="n">
        <f aca="false">$G165*$H165</f>
        <v>0</v>
      </c>
      <c r="J165" s="0" t="n">
        <f aca="false">$G165*Home!$D$5</f>
        <v>4</v>
      </c>
      <c r="K165" s="0" t="n">
        <f aca="false">INDEX(Pantry!$I$7:$I$68,MATCH($C165,Pantry!$A$7:$A$68,0))</f>
        <v>8</v>
      </c>
      <c r="L165" s="0" t="n">
        <f aca="false">IF($K165&gt;=$J165-0.0001,1,0)</f>
        <v>1</v>
      </c>
      <c r="M165" s="0" t="n">
        <f aca="false">MAX(0,$J165-$K165)</f>
        <v>0</v>
      </c>
    </row>
    <row r="166" customFormat="false" ht="15" hidden="false" customHeight="false" outlineLevel="0" collapsed="false">
      <c r="A166" s="0" t="s">
        <v>83</v>
      </c>
      <c r="B166" s="0" t="s">
        <v>84</v>
      </c>
      <c r="C166" s="0" t="s">
        <v>253</v>
      </c>
      <c r="D166" s="0" t="n">
        <v>2</v>
      </c>
      <c r="E166" s="0" t="s">
        <v>214</v>
      </c>
      <c r="F166" s="0" t="n">
        <v>4</v>
      </c>
      <c r="G166" s="0" t="n">
        <f aca="false">$D166/$F166</f>
        <v>0.5</v>
      </c>
      <c r="H166" s="0" t="n">
        <f aca="false">SUMIFS(Home!$E$28:$E$39,Home!$B$28:$B$39,$B166)</f>
        <v>0</v>
      </c>
      <c r="I166" s="0" t="n">
        <f aca="false">$G166*$H166</f>
        <v>0</v>
      </c>
      <c r="J166" s="0" t="n">
        <f aca="false">$G166*Home!$D$5</f>
        <v>2</v>
      </c>
      <c r="K166" s="0" t="n">
        <f aca="false">INDEX(Pantry!$I$7:$I$68,MATCH($C166,Pantry!$A$7:$A$68,0))</f>
        <v>2</v>
      </c>
      <c r="L166" s="0" t="n">
        <f aca="false">IF($K166&gt;=$J166-0.0001,1,0)</f>
        <v>1</v>
      </c>
      <c r="M166" s="0" t="n">
        <f aca="false">MAX(0,$J166-$K166)</f>
        <v>0</v>
      </c>
    </row>
    <row r="167" customFormat="false" ht="15" hidden="false" customHeight="false" outlineLevel="0" collapsed="false">
      <c r="A167" s="0" t="s">
        <v>83</v>
      </c>
      <c r="B167" s="0" t="s">
        <v>84</v>
      </c>
      <c r="C167" s="0" t="s">
        <v>216</v>
      </c>
      <c r="D167" s="0" t="n">
        <v>0.25</v>
      </c>
      <c r="E167" s="0" t="s">
        <v>212</v>
      </c>
      <c r="F167" s="0" t="n">
        <v>4</v>
      </c>
      <c r="G167" s="0" t="n">
        <f aca="false">$D167/$F167</f>
        <v>0.0625</v>
      </c>
      <c r="H167" s="0" t="n">
        <f aca="false">SUMIFS(Home!$E$28:$E$39,Home!$B$28:$B$39,$B167)</f>
        <v>0</v>
      </c>
      <c r="I167" s="0" t="n">
        <f aca="false">$G167*$H167</f>
        <v>0</v>
      </c>
      <c r="J167" s="0" t="n">
        <f aca="false">$G167*Home!$D$5</f>
        <v>0.25</v>
      </c>
      <c r="K167" s="0" t="n">
        <f aca="false">INDEX(Pantry!$I$7:$I$68,MATCH($C167,Pantry!$A$7:$A$68,0))</f>
        <v>5</v>
      </c>
      <c r="L167" s="0" t="n">
        <f aca="false">IF($K167&gt;=$J167-0.0001,1,0)</f>
        <v>1</v>
      </c>
      <c r="M167" s="0" t="n">
        <f aca="false">MAX(0,$J167-$K167)</f>
        <v>0</v>
      </c>
    </row>
    <row r="168" customFormat="false" ht="15" hidden="false" customHeight="false" outlineLevel="0" collapsed="false">
      <c r="A168" s="0" t="s">
        <v>83</v>
      </c>
      <c r="B168" s="0" t="s">
        <v>84</v>
      </c>
      <c r="C168" s="0" t="s">
        <v>222</v>
      </c>
      <c r="D168" s="0" t="n">
        <v>1</v>
      </c>
      <c r="E168" s="0" t="s">
        <v>223</v>
      </c>
      <c r="F168" s="0" t="n">
        <v>4</v>
      </c>
      <c r="G168" s="0" t="n">
        <f aca="false">$D168/$F168</f>
        <v>0.25</v>
      </c>
      <c r="H168" s="0" t="n">
        <f aca="false">SUMIFS(Home!$E$28:$E$39,Home!$B$28:$B$39,$B168)</f>
        <v>0</v>
      </c>
      <c r="I168" s="0" t="n">
        <f aca="false">$G168*$H168</f>
        <v>0</v>
      </c>
      <c r="J168" s="0" t="n">
        <f aca="false">$G168*Home!$D$5</f>
        <v>1</v>
      </c>
      <c r="K168" s="0" t="n">
        <f aca="false">INDEX(Pantry!$I$7:$I$68,MATCH($C168,Pantry!$A$7:$A$68,0))</f>
        <v>50</v>
      </c>
      <c r="L168" s="0" t="n">
        <f aca="false">IF($K168&gt;=$J168-0.0001,1,0)</f>
        <v>1</v>
      </c>
      <c r="M168" s="0" t="n">
        <f aca="false">MAX(0,$J168-$K168)</f>
        <v>0</v>
      </c>
    </row>
    <row r="169" customFormat="false" ht="15" hidden="false" customHeight="false" outlineLevel="0" collapsed="false">
      <c r="A169" s="0" t="s">
        <v>83</v>
      </c>
      <c r="B169" s="0" t="s">
        <v>84</v>
      </c>
      <c r="C169" s="0" t="s">
        <v>257</v>
      </c>
      <c r="D169" s="0" t="n">
        <v>1</v>
      </c>
      <c r="E169" s="0" t="s">
        <v>209</v>
      </c>
      <c r="F169" s="0" t="n">
        <v>4</v>
      </c>
      <c r="G169" s="0" t="n">
        <f aca="false">$D169/$F169</f>
        <v>0.25</v>
      </c>
      <c r="H169" s="0" t="n">
        <f aca="false">SUMIFS(Home!$E$28:$E$39,Home!$B$28:$B$39,$B169)</f>
        <v>0</v>
      </c>
      <c r="I169" s="0" t="n">
        <f aca="false">$G169*$H169</f>
        <v>0</v>
      </c>
      <c r="J169" s="0" t="n">
        <f aca="false">$G169*Home!$D$5</f>
        <v>1</v>
      </c>
      <c r="K169" s="0" t="n">
        <f aca="false">INDEX(Pantry!$I$7:$I$68,MATCH($C169,Pantry!$A$7:$A$68,0))</f>
        <v>2</v>
      </c>
      <c r="L169" s="0" t="n">
        <f aca="false">IF($K169&gt;=$J169-0.0001,1,0)</f>
        <v>1</v>
      </c>
      <c r="M169" s="0" t="n">
        <f aca="false">MAX(0,$J169-$K169)</f>
        <v>0</v>
      </c>
    </row>
    <row r="170" customFormat="false" ht="15" hidden="false" customHeight="false" outlineLevel="0" collapsed="false">
      <c r="A170" s="0" t="s">
        <v>87</v>
      </c>
      <c r="B170" s="0" t="s">
        <v>88</v>
      </c>
      <c r="C170" s="0" t="s">
        <v>262</v>
      </c>
      <c r="D170" s="0" t="n">
        <v>300</v>
      </c>
      <c r="E170" s="0" t="s">
        <v>231</v>
      </c>
      <c r="F170" s="0" t="n">
        <v>4</v>
      </c>
      <c r="G170" s="0" t="n">
        <f aca="false">$D170/$F170</f>
        <v>75</v>
      </c>
      <c r="H170" s="0" t="n">
        <f aca="false">SUMIFS(Home!$E$28:$E$39,Home!$B$28:$B$39,$B170)</f>
        <v>0</v>
      </c>
      <c r="I170" s="0" t="n">
        <f aca="false">$G170*$H170</f>
        <v>0</v>
      </c>
      <c r="J170" s="0" t="n">
        <f aca="false">$G170*Home!$D$5</f>
        <v>300</v>
      </c>
      <c r="K170" s="0" t="n">
        <f aca="false">INDEX(Pantry!$I$7:$I$68,MATCH($C170,Pantry!$A$7:$A$68,0))</f>
        <v>500</v>
      </c>
      <c r="L170" s="0" t="n">
        <f aca="false">IF($K170&gt;=$J170-0.0001,1,0)</f>
        <v>1</v>
      </c>
      <c r="M170" s="0" t="n">
        <f aca="false">MAX(0,$J170-$K170)</f>
        <v>0</v>
      </c>
    </row>
    <row r="171" customFormat="false" ht="15" hidden="false" customHeight="false" outlineLevel="0" collapsed="false">
      <c r="A171" s="0" t="s">
        <v>87</v>
      </c>
      <c r="B171" s="0" t="s">
        <v>88</v>
      </c>
      <c r="C171" s="0" t="s">
        <v>205</v>
      </c>
      <c r="D171" s="0" t="n">
        <v>0.5</v>
      </c>
      <c r="E171" s="0" t="s">
        <v>206</v>
      </c>
      <c r="F171" s="0" t="n">
        <v>4</v>
      </c>
      <c r="G171" s="0" t="n">
        <f aca="false">$D171/$F171</f>
        <v>0.125</v>
      </c>
      <c r="H171" s="0" t="n">
        <f aca="false">SUMIFS(Home!$E$28:$E$39,Home!$B$28:$B$39,$B171)</f>
        <v>0</v>
      </c>
      <c r="I171" s="0" t="n">
        <f aca="false">$G171*$H171</f>
        <v>0</v>
      </c>
      <c r="J171" s="0" t="n">
        <f aca="false">$G171*Home!$D$5</f>
        <v>0.5</v>
      </c>
      <c r="K171" s="0" t="n">
        <f aca="false">INDEX(Pantry!$I$7:$I$68,MATCH($C171,Pantry!$A$7:$A$68,0))</f>
        <v>1</v>
      </c>
      <c r="L171" s="0" t="n">
        <f aca="false">IF($K171&gt;=$J171-0.0001,1,0)</f>
        <v>1</v>
      </c>
      <c r="M171" s="0" t="n">
        <f aca="false">MAX(0,$J171-$K171)</f>
        <v>0</v>
      </c>
    </row>
    <row r="172" customFormat="false" ht="15" hidden="false" customHeight="false" outlineLevel="0" collapsed="false">
      <c r="A172" s="0" t="s">
        <v>87</v>
      </c>
      <c r="B172" s="0" t="s">
        <v>88</v>
      </c>
      <c r="C172" s="0" t="s">
        <v>208</v>
      </c>
      <c r="D172" s="0" t="n">
        <v>2</v>
      </c>
      <c r="E172" s="0" t="s">
        <v>209</v>
      </c>
      <c r="F172" s="0" t="n">
        <v>4</v>
      </c>
      <c r="G172" s="0" t="n">
        <f aca="false">$D172/$F172</f>
        <v>0.5</v>
      </c>
      <c r="H172" s="0" t="n">
        <f aca="false">SUMIFS(Home!$E$28:$E$39,Home!$B$28:$B$39,$B172)</f>
        <v>0</v>
      </c>
      <c r="I172" s="0" t="n">
        <f aca="false">$G172*$H172</f>
        <v>0</v>
      </c>
      <c r="J172" s="0" t="n">
        <f aca="false">$G172*Home!$D$5</f>
        <v>2</v>
      </c>
      <c r="K172" s="0" t="n">
        <f aca="false">INDEX(Pantry!$I$7:$I$68,MATCH($C172,Pantry!$A$7:$A$68,0))</f>
        <v>6</v>
      </c>
      <c r="L172" s="0" t="n">
        <f aca="false">IF($K172&gt;=$J172-0.0001,1,0)</f>
        <v>1</v>
      </c>
      <c r="M172" s="0" t="n">
        <f aca="false">MAX(0,$J172-$K172)</f>
        <v>0</v>
      </c>
    </row>
    <row r="173" customFormat="false" ht="15" hidden="false" customHeight="false" outlineLevel="0" collapsed="false">
      <c r="A173" s="0" t="s">
        <v>87</v>
      </c>
      <c r="B173" s="0" t="s">
        <v>88</v>
      </c>
      <c r="C173" s="0" t="s">
        <v>211</v>
      </c>
      <c r="D173" s="0" t="n">
        <v>0.5</v>
      </c>
      <c r="E173" s="0" t="s">
        <v>212</v>
      </c>
      <c r="F173" s="0" t="n">
        <v>4</v>
      </c>
      <c r="G173" s="0" t="n">
        <f aca="false">$D173/$F173</f>
        <v>0.125</v>
      </c>
      <c r="H173" s="0" t="n">
        <f aca="false">SUMIFS(Home!$E$28:$E$39,Home!$B$28:$B$39,$B173)</f>
        <v>0</v>
      </c>
      <c r="I173" s="0" t="n">
        <f aca="false">$G173*$H173</f>
        <v>0</v>
      </c>
      <c r="J173" s="0" t="n">
        <f aca="false">$G173*Home!$D$5</f>
        <v>0.5</v>
      </c>
      <c r="K173" s="0" t="n">
        <f aca="false">INDEX(Pantry!$I$7:$I$68,MATCH($C173,Pantry!$A$7:$A$68,0))</f>
        <v>2</v>
      </c>
      <c r="L173" s="0" t="n">
        <f aca="false">IF($K173&gt;=$J173-0.0001,1,0)</f>
        <v>1</v>
      </c>
      <c r="M173" s="0" t="n">
        <f aca="false">MAX(0,$J173-$K173)</f>
        <v>0</v>
      </c>
    </row>
    <row r="174" customFormat="false" ht="15" hidden="false" customHeight="false" outlineLevel="0" collapsed="false">
      <c r="A174" s="0" t="s">
        <v>87</v>
      </c>
      <c r="B174" s="0" t="s">
        <v>88</v>
      </c>
      <c r="C174" s="0" t="s">
        <v>213</v>
      </c>
      <c r="D174" s="0" t="n">
        <v>1.5</v>
      </c>
      <c r="E174" s="0" t="s">
        <v>214</v>
      </c>
      <c r="F174" s="0" t="n">
        <v>4</v>
      </c>
      <c r="G174" s="0" t="n">
        <f aca="false">$D174/$F174</f>
        <v>0.375</v>
      </c>
      <c r="H174" s="0" t="n">
        <f aca="false">SUMIFS(Home!$E$28:$E$39,Home!$B$28:$B$39,$B174)</f>
        <v>0</v>
      </c>
      <c r="I174" s="0" t="n">
        <f aca="false">$G174*$H174</f>
        <v>0</v>
      </c>
      <c r="J174" s="0" t="n">
        <f aca="false">$G174*Home!$D$5</f>
        <v>1.5</v>
      </c>
      <c r="K174" s="0" t="n">
        <f aca="false">INDEX(Pantry!$I$7:$I$68,MATCH($C174,Pantry!$A$7:$A$68,0))</f>
        <v>1</v>
      </c>
      <c r="L174" s="0" t="n">
        <f aca="false">IF($K174&gt;=$J174-0.0001,1,0)</f>
        <v>0</v>
      </c>
      <c r="M174" s="0" t="n">
        <f aca="false">MAX(0,$J174-$K174)</f>
        <v>0.5</v>
      </c>
    </row>
    <row r="175" customFormat="false" ht="15" hidden="false" customHeight="false" outlineLevel="0" collapsed="false">
      <c r="A175" s="0" t="s">
        <v>87</v>
      </c>
      <c r="B175" s="0" t="s">
        <v>88</v>
      </c>
      <c r="C175" s="0" t="s">
        <v>226</v>
      </c>
      <c r="D175" s="0" t="n">
        <v>1</v>
      </c>
      <c r="E175" s="0" t="s">
        <v>214</v>
      </c>
      <c r="F175" s="0" t="n">
        <v>4</v>
      </c>
      <c r="G175" s="0" t="n">
        <f aca="false">$D175/$F175</f>
        <v>0.25</v>
      </c>
      <c r="H175" s="0" t="n">
        <f aca="false">SUMIFS(Home!$E$28:$E$39,Home!$B$28:$B$39,$B175)</f>
        <v>0</v>
      </c>
      <c r="I175" s="0" t="n">
        <f aca="false">$G175*$H175</f>
        <v>0</v>
      </c>
      <c r="J175" s="0" t="n">
        <f aca="false">$G175*Home!$D$5</f>
        <v>1</v>
      </c>
      <c r="K175" s="0" t="n">
        <f aca="false">INDEX(Pantry!$I$7:$I$68,MATCH($C175,Pantry!$A$7:$A$68,0))</f>
        <v>4</v>
      </c>
      <c r="L175" s="0" t="n">
        <f aca="false">IF($K175&gt;=$J175-0.0001,1,0)</f>
        <v>1</v>
      </c>
      <c r="M175" s="0" t="n">
        <f aca="false">MAX(0,$J175-$K175)</f>
        <v>0</v>
      </c>
    </row>
    <row r="176" customFormat="false" ht="15" hidden="false" customHeight="false" outlineLevel="0" collapsed="false">
      <c r="A176" s="0" t="s">
        <v>87</v>
      </c>
      <c r="B176" s="0" t="s">
        <v>88</v>
      </c>
      <c r="C176" s="0" t="s">
        <v>234</v>
      </c>
      <c r="D176" s="0" t="n">
        <v>1.5</v>
      </c>
      <c r="E176" s="0" t="s">
        <v>223</v>
      </c>
      <c r="F176" s="0" t="n">
        <v>4</v>
      </c>
      <c r="G176" s="0" t="n">
        <f aca="false">$D176/$F176</f>
        <v>0.375</v>
      </c>
      <c r="H176" s="0" t="n">
        <f aca="false">SUMIFS(Home!$E$28:$E$39,Home!$B$28:$B$39,$B176)</f>
        <v>0</v>
      </c>
      <c r="I176" s="0" t="n">
        <f aca="false">$G176*$H176</f>
        <v>0</v>
      </c>
      <c r="J176" s="0" t="n">
        <f aca="false">$G176*Home!$D$5</f>
        <v>1.5</v>
      </c>
      <c r="K176" s="0" t="n">
        <f aca="false">INDEX(Pantry!$I$7:$I$68,MATCH($C176,Pantry!$A$7:$A$68,0))</f>
        <v>12</v>
      </c>
      <c r="L176" s="0" t="n">
        <f aca="false">IF($K176&gt;=$J176-0.0001,1,0)</f>
        <v>1</v>
      </c>
      <c r="M176" s="0" t="n">
        <f aca="false">MAX(0,$J176-$K176)</f>
        <v>0</v>
      </c>
    </row>
    <row r="177" customFormat="false" ht="15" hidden="false" customHeight="false" outlineLevel="0" collapsed="false">
      <c r="A177" s="0" t="s">
        <v>87</v>
      </c>
      <c r="B177" s="0" t="s">
        <v>88</v>
      </c>
      <c r="C177" s="0" t="s">
        <v>232</v>
      </c>
      <c r="D177" s="0" t="n">
        <v>1.5</v>
      </c>
      <c r="E177" s="0" t="s">
        <v>223</v>
      </c>
      <c r="F177" s="0" t="n">
        <v>4</v>
      </c>
      <c r="G177" s="0" t="n">
        <f aca="false">$D177/$F177</f>
        <v>0.375</v>
      </c>
      <c r="H177" s="0" t="n">
        <f aca="false">SUMIFS(Home!$E$28:$E$39,Home!$B$28:$B$39,$B177)</f>
        <v>0</v>
      </c>
      <c r="I177" s="0" t="n">
        <f aca="false">$G177*$H177</f>
        <v>0</v>
      </c>
      <c r="J177" s="0" t="n">
        <f aca="false">$G177*Home!$D$5</f>
        <v>1.5</v>
      </c>
      <c r="K177" s="0" t="n">
        <f aca="false">INDEX(Pantry!$I$7:$I$68,MATCH($C177,Pantry!$A$7:$A$68,0))</f>
        <v>20</v>
      </c>
      <c r="L177" s="0" t="n">
        <f aca="false">IF($K177&gt;=$J177-0.0001,1,0)</f>
        <v>1</v>
      </c>
      <c r="M177" s="0" t="n">
        <f aca="false">MAX(0,$J177-$K177)</f>
        <v>0</v>
      </c>
    </row>
    <row r="178" customFormat="false" ht="15" hidden="false" customHeight="false" outlineLevel="0" collapsed="false">
      <c r="A178" s="0" t="s">
        <v>87</v>
      </c>
      <c r="B178" s="0" t="s">
        <v>88</v>
      </c>
      <c r="C178" s="0" t="s">
        <v>224</v>
      </c>
      <c r="D178" s="0" t="n">
        <v>0.5</v>
      </c>
      <c r="E178" s="0" t="s">
        <v>212</v>
      </c>
      <c r="F178" s="0" t="n">
        <v>4</v>
      </c>
      <c r="G178" s="0" t="n">
        <f aca="false">$D178/$F178</f>
        <v>0.125</v>
      </c>
      <c r="H178" s="0" t="n">
        <f aca="false">SUMIFS(Home!$E$28:$E$39,Home!$B$28:$B$39,$B178)</f>
        <v>0</v>
      </c>
      <c r="I178" s="0" t="n">
        <f aca="false">$G178*$H178</f>
        <v>0</v>
      </c>
      <c r="J178" s="0" t="n">
        <f aca="false">$G178*Home!$D$5</f>
        <v>0.5</v>
      </c>
      <c r="K178" s="0" t="n">
        <f aca="false">INDEX(Pantry!$I$7:$I$68,MATCH($C178,Pantry!$A$7:$A$68,0))</f>
        <v>0</v>
      </c>
      <c r="L178" s="0" t="n">
        <f aca="false">IF($K178&gt;=$J178-0.0001,1,0)</f>
        <v>0</v>
      </c>
      <c r="M178" s="0" t="n">
        <f aca="false">MAX(0,$J178-$K178)</f>
        <v>0.5</v>
      </c>
    </row>
    <row r="179" customFormat="false" ht="15" hidden="false" customHeight="false" outlineLevel="0" collapsed="false">
      <c r="A179" s="0" t="s">
        <v>87</v>
      </c>
      <c r="B179" s="0" t="s">
        <v>88</v>
      </c>
      <c r="C179" s="0" t="s">
        <v>216</v>
      </c>
      <c r="D179" s="0" t="n">
        <v>0.5</v>
      </c>
      <c r="E179" s="0" t="s">
        <v>212</v>
      </c>
      <c r="F179" s="0" t="n">
        <v>4</v>
      </c>
      <c r="G179" s="0" t="n">
        <f aca="false">$D179/$F179</f>
        <v>0.125</v>
      </c>
      <c r="H179" s="0" t="n">
        <f aca="false">SUMIFS(Home!$E$28:$E$39,Home!$B$28:$B$39,$B179)</f>
        <v>0</v>
      </c>
      <c r="I179" s="0" t="n">
        <f aca="false">$G179*$H179</f>
        <v>0</v>
      </c>
      <c r="J179" s="0" t="n">
        <f aca="false">$G179*Home!$D$5</f>
        <v>0.5</v>
      </c>
      <c r="K179" s="0" t="n">
        <f aca="false">INDEX(Pantry!$I$7:$I$68,MATCH($C179,Pantry!$A$7:$A$68,0))</f>
        <v>5</v>
      </c>
      <c r="L179" s="0" t="n">
        <f aca="false">IF($K179&gt;=$J179-0.0001,1,0)</f>
        <v>1</v>
      </c>
      <c r="M179" s="0" t="n">
        <f aca="false">MAX(0,$J179-$K179)</f>
        <v>0</v>
      </c>
    </row>
    <row r="180" customFormat="false" ht="15" hidden="false" customHeight="false" outlineLevel="0" collapsed="false">
      <c r="A180" s="0" t="s">
        <v>87</v>
      </c>
      <c r="B180" s="0" t="s">
        <v>88</v>
      </c>
      <c r="C180" s="0" t="s">
        <v>222</v>
      </c>
      <c r="D180" s="0" t="n">
        <v>1.5</v>
      </c>
      <c r="E180" s="0" t="s">
        <v>223</v>
      </c>
      <c r="F180" s="0" t="n">
        <v>4</v>
      </c>
      <c r="G180" s="0" t="n">
        <f aca="false">$D180/$F180</f>
        <v>0.375</v>
      </c>
      <c r="H180" s="0" t="n">
        <f aca="false">SUMIFS(Home!$E$28:$E$39,Home!$B$28:$B$39,$B180)</f>
        <v>0</v>
      </c>
      <c r="I180" s="0" t="n">
        <f aca="false">$G180*$H180</f>
        <v>0</v>
      </c>
      <c r="J180" s="0" t="n">
        <f aca="false">$G180*Home!$D$5</f>
        <v>1.5</v>
      </c>
      <c r="K180" s="0" t="n">
        <f aca="false">INDEX(Pantry!$I$7:$I$68,MATCH($C180,Pantry!$A$7:$A$68,0))</f>
        <v>50</v>
      </c>
      <c r="L180" s="0" t="n">
        <f aca="false">IF($K180&gt;=$J180-0.0001,1,0)</f>
        <v>1</v>
      </c>
      <c r="M180" s="0" t="n">
        <f aca="false">MAX(0,$J180-$K180)</f>
        <v>0</v>
      </c>
    </row>
    <row r="181" customFormat="false" ht="15" hidden="false" customHeight="false" outlineLevel="0" collapsed="false">
      <c r="A181" s="0" t="s">
        <v>91</v>
      </c>
      <c r="B181" s="0" t="s">
        <v>92</v>
      </c>
      <c r="C181" s="0" t="s">
        <v>263</v>
      </c>
      <c r="D181" s="0" t="n">
        <v>500</v>
      </c>
      <c r="E181" s="0" t="s">
        <v>231</v>
      </c>
      <c r="F181" s="0" t="n">
        <v>4</v>
      </c>
      <c r="G181" s="0" t="n">
        <f aca="false">$D181/$F181</f>
        <v>125</v>
      </c>
      <c r="H181" s="0" t="n">
        <f aca="false">SUMIFS(Home!$E$28:$E$39,Home!$B$28:$B$39,$B181)</f>
        <v>0</v>
      </c>
      <c r="I181" s="0" t="n">
        <f aca="false">$G181*$H181</f>
        <v>0</v>
      </c>
      <c r="J181" s="0" t="n">
        <f aca="false">$G181*Home!$D$5</f>
        <v>500</v>
      </c>
      <c r="K181" s="0" t="n">
        <f aca="false">INDEX(Pantry!$I$7:$I$68,MATCH($C181,Pantry!$A$7:$A$68,0))</f>
        <v>0</v>
      </c>
      <c r="L181" s="0" t="n">
        <f aca="false">IF($K181&gt;=$J181-0.0001,1,0)</f>
        <v>0</v>
      </c>
      <c r="M181" s="0" t="n">
        <f aca="false">MAX(0,$J181-$K181)</f>
        <v>500</v>
      </c>
    </row>
    <row r="182" customFormat="false" ht="15" hidden="false" customHeight="false" outlineLevel="0" collapsed="false">
      <c r="A182" s="0" t="s">
        <v>91</v>
      </c>
      <c r="B182" s="0" t="s">
        <v>92</v>
      </c>
      <c r="C182" s="0" t="s">
        <v>247</v>
      </c>
      <c r="D182" s="0" t="n">
        <v>2</v>
      </c>
      <c r="E182" s="0" t="s">
        <v>209</v>
      </c>
      <c r="F182" s="0" t="n">
        <v>4</v>
      </c>
      <c r="G182" s="0" t="n">
        <f aca="false">$D182/$F182</f>
        <v>0.5</v>
      </c>
      <c r="H182" s="0" t="n">
        <f aca="false">SUMIFS(Home!$E$28:$E$39,Home!$B$28:$B$39,$B182)</f>
        <v>0</v>
      </c>
      <c r="I182" s="0" t="n">
        <f aca="false">$G182*$H182</f>
        <v>0</v>
      </c>
      <c r="J182" s="0" t="n">
        <f aca="false">$G182*Home!$D$5</f>
        <v>2</v>
      </c>
      <c r="K182" s="0" t="n">
        <f aca="false">INDEX(Pantry!$I$7:$I$68,MATCH($C182,Pantry!$A$7:$A$68,0))</f>
        <v>5</v>
      </c>
      <c r="L182" s="0" t="n">
        <f aca="false">IF($K182&gt;=$J182-0.0001,1,0)</f>
        <v>1</v>
      </c>
      <c r="M182" s="0" t="n">
        <f aca="false">MAX(0,$J182-$K182)</f>
        <v>0</v>
      </c>
    </row>
    <row r="183" customFormat="false" ht="15" hidden="false" customHeight="false" outlineLevel="0" collapsed="false">
      <c r="A183" s="0" t="s">
        <v>91</v>
      </c>
      <c r="B183" s="0" t="s">
        <v>92</v>
      </c>
      <c r="C183" s="0" t="s">
        <v>208</v>
      </c>
      <c r="D183" s="0" t="n">
        <v>1</v>
      </c>
      <c r="E183" s="0" t="s">
        <v>209</v>
      </c>
      <c r="F183" s="0" t="n">
        <v>4</v>
      </c>
      <c r="G183" s="0" t="n">
        <f aca="false">$D183/$F183</f>
        <v>0.25</v>
      </c>
      <c r="H183" s="0" t="n">
        <f aca="false">SUMIFS(Home!$E$28:$E$39,Home!$B$28:$B$39,$B183)</f>
        <v>0</v>
      </c>
      <c r="I183" s="0" t="n">
        <f aca="false">$G183*$H183</f>
        <v>0</v>
      </c>
      <c r="J183" s="0" t="n">
        <f aca="false">$G183*Home!$D$5</f>
        <v>1</v>
      </c>
      <c r="K183" s="0" t="n">
        <f aca="false">INDEX(Pantry!$I$7:$I$68,MATCH($C183,Pantry!$A$7:$A$68,0))</f>
        <v>6</v>
      </c>
      <c r="L183" s="0" t="n">
        <f aca="false">IF($K183&gt;=$J183-0.0001,1,0)</f>
        <v>1</v>
      </c>
      <c r="M183" s="0" t="n">
        <f aca="false">MAX(0,$J183-$K183)</f>
        <v>0</v>
      </c>
    </row>
    <row r="184" customFormat="false" ht="15" hidden="false" customHeight="false" outlineLevel="0" collapsed="false">
      <c r="A184" s="0" t="s">
        <v>91</v>
      </c>
      <c r="B184" s="0" t="s">
        <v>92</v>
      </c>
      <c r="C184" s="0" t="s">
        <v>227</v>
      </c>
      <c r="D184" s="0" t="n">
        <v>1.5</v>
      </c>
      <c r="E184" s="0" t="s">
        <v>223</v>
      </c>
      <c r="F184" s="0" t="n">
        <v>4</v>
      </c>
      <c r="G184" s="0" t="n">
        <f aca="false">$D184/$F184</f>
        <v>0.375</v>
      </c>
      <c r="H184" s="0" t="n">
        <f aca="false">SUMIFS(Home!$E$28:$E$39,Home!$B$28:$B$39,$B184)</f>
        <v>0</v>
      </c>
      <c r="I184" s="0" t="n">
        <f aca="false">$G184*$H184</f>
        <v>0</v>
      </c>
      <c r="J184" s="0" t="n">
        <f aca="false">$G184*Home!$D$5</f>
        <v>1.5</v>
      </c>
      <c r="K184" s="0" t="n">
        <f aca="false">INDEX(Pantry!$I$7:$I$68,MATCH($C184,Pantry!$A$7:$A$68,0))</f>
        <v>8</v>
      </c>
      <c r="L184" s="0" t="n">
        <f aca="false">IF($K184&gt;=$J184-0.0001,1,0)</f>
        <v>1</v>
      </c>
      <c r="M184" s="0" t="n">
        <f aca="false">MAX(0,$J184-$K184)</f>
        <v>0</v>
      </c>
    </row>
    <row r="185" customFormat="false" ht="15" hidden="false" customHeight="false" outlineLevel="0" collapsed="false">
      <c r="A185" s="0" t="s">
        <v>91</v>
      </c>
      <c r="B185" s="0" t="s">
        <v>92</v>
      </c>
      <c r="C185" s="0" t="s">
        <v>228</v>
      </c>
      <c r="D185" s="0" t="n">
        <v>1.5</v>
      </c>
      <c r="E185" s="0" t="s">
        <v>223</v>
      </c>
      <c r="F185" s="0" t="n">
        <v>4</v>
      </c>
      <c r="G185" s="0" t="n">
        <f aca="false">$D185/$F185</f>
        <v>0.375</v>
      </c>
      <c r="H185" s="0" t="n">
        <f aca="false">SUMIFS(Home!$E$28:$E$39,Home!$B$28:$B$39,$B185)</f>
        <v>0</v>
      </c>
      <c r="I185" s="0" t="n">
        <f aca="false">$G185*$H185</f>
        <v>0</v>
      </c>
      <c r="J185" s="0" t="n">
        <f aca="false">$G185*Home!$D$5</f>
        <v>1.5</v>
      </c>
      <c r="K185" s="0" t="n">
        <f aca="false">INDEX(Pantry!$I$7:$I$68,MATCH($C185,Pantry!$A$7:$A$68,0))</f>
        <v>6</v>
      </c>
      <c r="L185" s="0" t="n">
        <f aca="false">IF($K185&gt;=$J185-0.0001,1,0)</f>
        <v>1</v>
      </c>
      <c r="M185" s="0" t="n">
        <f aca="false">MAX(0,$J185-$K185)</f>
        <v>0</v>
      </c>
    </row>
    <row r="186" customFormat="false" ht="15" hidden="false" customHeight="false" outlineLevel="0" collapsed="false">
      <c r="A186" s="0" t="s">
        <v>91</v>
      </c>
      <c r="B186" s="0" t="s">
        <v>92</v>
      </c>
      <c r="C186" s="0" t="s">
        <v>232</v>
      </c>
      <c r="D186" s="0" t="n">
        <v>1.5</v>
      </c>
      <c r="E186" s="0" t="s">
        <v>223</v>
      </c>
      <c r="F186" s="0" t="n">
        <v>4</v>
      </c>
      <c r="G186" s="0" t="n">
        <f aca="false">$D186/$F186</f>
        <v>0.375</v>
      </c>
      <c r="H186" s="0" t="n">
        <f aca="false">SUMIFS(Home!$E$28:$E$39,Home!$B$28:$B$39,$B186)</f>
        <v>0</v>
      </c>
      <c r="I186" s="0" t="n">
        <f aca="false">$G186*$H186</f>
        <v>0</v>
      </c>
      <c r="J186" s="0" t="n">
        <f aca="false">$G186*Home!$D$5</f>
        <v>1.5</v>
      </c>
      <c r="K186" s="0" t="n">
        <f aca="false">INDEX(Pantry!$I$7:$I$68,MATCH($C186,Pantry!$A$7:$A$68,0))</f>
        <v>20</v>
      </c>
      <c r="L186" s="0" t="n">
        <f aca="false">IF($K186&gt;=$J186-0.0001,1,0)</f>
        <v>1</v>
      </c>
      <c r="M186" s="0" t="n">
        <f aca="false">MAX(0,$J186-$K186)</f>
        <v>0</v>
      </c>
    </row>
    <row r="187" customFormat="false" ht="15" hidden="false" customHeight="false" outlineLevel="0" collapsed="false">
      <c r="A187" s="0" t="s">
        <v>91</v>
      </c>
      <c r="B187" s="0" t="s">
        <v>92</v>
      </c>
      <c r="C187" s="0" t="s">
        <v>233</v>
      </c>
      <c r="D187" s="0" t="n">
        <v>0.5</v>
      </c>
      <c r="E187" s="0" t="s">
        <v>223</v>
      </c>
      <c r="F187" s="0" t="n">
        <v>4</v>
      </c>
      <c r="G187" s="0" t="n">
        <f aca="false">$D187/$F187</f>
        <v>0.125</v>
      </c>
      <c r="H187" s="0" t="n">
        <f aca="false">SUMIFS(Home!$E$28:$E$39,Home!$B$28:$B$39,$B187)</f>
        <v>0</v>
      </c>
      <c r="I187" s="0" t="n">
        <f aca="false">$G187*$H187</f>
        <v>0</v>
      </c>
      <c r="J187" s="0" t="n">
        <f aca="false">$G187*Home!$D$5</f>
        <v>0.5</v>
      </c>
      <c r="K187" s="0" t="n">
        <f aca="false">INDEX(Pantry!$I$7:$I$68,MATCH($C187,Pantry!$A$7:$A$68,0))</f>
        <v>15</v>
      </c>
      <c r="L187" s="0" t="n">
        <f aca="false">IF($K187&gt;=$J187-0.0001,1,0)</f>
        <v>1</v>
      </c>
      <c r="M187" s="0" t="n">
        <f aca="false">MAX(0,$J187-$K187)</f>
        <v>0</v>
      </c>
    </row>
    <row r="188" customFormat="false" ht="15" hidden="false" customHeight="false" outlineLevel="0" collapsed="false">
      <c r="A188" s="0" t="s">
        <v>91</v>
      </c>
      <c r="B188" s="0" t="s">
        <v>92</v>
      </c>
      <c r="C188" s="0" t="s">
        <v>216</v>
      </c>
      <c r="D188" s="0" t="n">
        <v>0.5</v>
      </c>
      <c r="E188" s="0" t="s">
        <v>212</v>
      </c>
      <c r="F188" s="0" t="n">
        <v>4</v>
      </c>
      <c r="G188" s="0" t="n">
        <f aca="false">$D188/$F188</f>
        <v>0.125</v>
      </c>
      <c r="H188" s="0" t="n">
        <f aca="false">SUMIFS(Home!$E$28:$E$39,Home!$B$28:$B$39,$B188)</f>
        <v>0</v>
      </c>
      <c r="I188" s="0" t="n">
        <f aca="false">$G188*$H188</f>
        <v>0</v>
      </c>
      <c r="J188" s="0" t="n">
        <f aca="false">$G188*Home!$D$5</f>
        <v>0.5</v>
      </c>
      <c r="K188" s="0" t="n">
        <f aca="false">INDEX(Pantry!$I$7:$I$68,MATCH($C188,Pantry!$A$7:$A$68,0))</f>
        <v>5</v>
      </c>
      <c r="L188" s="0" t="n">
        <f aca="false">IF($K188&gt;=$J188-0.0001,1,0)</f>
        <v>1</v>
      </c>
      <c r="M188" s="0" t="n">
        <f aca="false">MAX(0,$J188-$K188)</f>
        <v>0</v>
      </c>
    </row>
    <row r="189" customFormat="false" ht="15" hidden="false" customHeight="false" outlineLevel="0" collapsed="false">
      <c r="A189" s="0" t="s">
        <v>91</v>
      </c>
      <c r="B189" s="0" t="s">
        <v>92</v>
      </c>
      <c r="C189" s="0" t="s">
        <v>222</v>
      </c>
      <c r="D189" s="0" t="n">
        <v>1.5</v>
      </c>
      <c r="E189" s="0" t="s">
        <v>223</v>
      </c>
      <c r="F189" s="0" t="n">
        <v>4</v>
      </c>
      <c r="G189" s="0" t="n">
        <f aca="false">$D189/$F189</f>
        <v>0.375</v>
      </c>
      <c r="H189" s="0" t="n">
        <f aca="false">SUMIFS(Home!$E$28:$E$39,Home!$B$28:$B$39,$B189)</f>
        <v>0</v>
      </c>
      <c r="I189" s="0" t="n">
        <f aca="false">$G189*$H189</f>
        <v>0</v>
      </c>
      <c r="J189" s="0" t="n">
        <f aca="false">$G189*Home!$D$5</f>
        <v>1.5</v>
      </c>
      <c r="K189" s="0" t="n">
        <f aca="false">INDEX(Pantry!$I$7:$I$68,MATCH($C189,Pantry!$A$7:$A$68,0))</f>
        <v>50</v>
      </c>
      <c r="L189" s="0" t="n">
        <f aca="false">IF($K189&gt;=$J189-0.0001,1,0)</f>
        <v>1</v>
      </c>
      <c r="M189" s="0" t="n">
        <f aca="false">MAX(0,$J189-$K189)</f>
        <v>0</v>
      </c>
    </row>
    <row r="190" customFormat="false" ht="15" hidden="false" customHeight="false" outlineLevel="0" collapsed="false">
      <c r="A190" s="0" t="s">
        <v>91</v>
      </c>
      <c r="B190" s="0" t="s">
        <v>92</v>
      </c>
      <c r="C190" s="0" t="s">
        <v>221</v>
      </c>
      <c r="D190" s="0" t="n">
        <v>1</v>
      </c>
      <c r="E190" s="0" t="s">
        <v>209</v>
      </c>
      <c r="F190" s="0" t="n">
        <v>4</v>
      </c>
      <c r="G190" s="0" t="n">
        <f aca="false">$D190/$F190</f>
        <v>0.25</v>
      </c>
      <c r="H190" s="0" t="n">
        <f aca="false">SUMIFS(Home!$E$28:$E$39,Home!$B$28:$B$39,$B190)</f>
        <v>0</v>
      </c>
      <c r="I190" s="0" t="n">
        <f aca="false">$G190*$H190</f>
        <v>0</v>
      </c>
      <c r="J190" s="0" t="n">
        <f aca="false">$G190*Home!$D$5</f>
        <v>1</v>
      </c>
      <c r="K190" s="0" t="n">
        <f aca="false">INDEX(Pantry!$I$7:$I$68,MATCH($C190,Pantry!$A$7:$A$68,0))</f>
        <v>1</v>
      </c>
      <c r="L190" s="0" t="n">
        <f aca="false">IF($K190&gt;=$J190-0.0001,1,0)</f>
        <v>1</v>
      </c>
      <c r="M190" s="0" t="n">
        <f aca="false">MAX(0,$J190-$K190)</f>
        <v>0</v>
      </c>
    </row>
    <row r="191" customFormat="false" ht="15" hidden="false" customHeight="false" outlineLevel="0" collapsed="false">
      <c r="A191" s="0" t="s">
        <v>91</v>
      </c>
      <c r="B191" s="0" t="s">
        <v>92</v>
      </c>
      <c r="C191" s="0" t="s">
        <v>220</v>
      </c>
      <c r="D191" s="0" t="n">
        <v>2</v>
      </c>
      <c r="E191" s="0" t="s">
        <v>209</v>
      </c>
      <c r="F191" s="0" t="n">
        <v>4</v>
      </c>
      <c r="G191" s="0" t="n">
        <f aca="false">$D191/$F191</f>
        <v>0.5</v>
      </c>
      <c r="H191" s="0" t="n">
        <f aca="false">SUMIFS(Home!$E$28:$E$39,Home!$B$28:$B$39,$B191)</f>
        <v>0</v>
      </c>
      <c r="I191" s="0" t="n">
        <f aca="false">$G191*$H191</f>
        <v>0</v>
      </c>
      <c r="J191" s="0" t="n">
        <f aca="false">$G191*Home!$D$5</f>
        <v>2</v>
      </c>
      <c r="K191" s="0" t="n">
        <f aca="false">INDEX(Pantry!$I$7:$I$68,MATCH($C191,Pantry!$A$7:$A$68,0))</f>
        <v>10</v>
      </c>
      <c r="L191" s="0" t="n">
        <f aca="false">IF($K191&gt;=$J191-0.0001,1,0)</f>
        <v>1</v>
      </c>
      <c r="M191" s="0" t="n">
        <f aca="false">MAX(0,$J191-$K191)</f>
        <v>0</v>
      </c>
    </row>
    <row r="192" customFormat="false" ht="15" hidden="false" customHeight="false" outlineLevel="0" collapsed="false">
      <c r="A192" s="0" t="s">
        <v>91</v>
      </c>
      <c r="B192" s="0" t="s">
        <v>92</v>
      </c>
      <c r="C192" s="0" t="s">
        <v>219</v>
      </c>
      <c r="D192" s="0" t="n">
        <v>0.5</v>
      </c>
      <c r="E192" s="0" t="s">
        <v>218</v>
      </c>
      <c r="F192" s="0" t="n">
        <v>4</v>
      </c>
      <c r="G192" s="0" t="n">
        <f aca="false">$D192/$F192</f>
        <v>0.125</v>
      </c>
      <c r="H192" s="0" t="n">
        <f aca="false">SUMIFS(Home!$E$28:$E$39,Home!$B$28:$B$39,$B192)</f>
        <v>0</v>
      </c>
      <c r="I192" s="0" t="n">
        <f aca="false">$G192*$H192</f>
        <v>0</v>
      </c>
      <c r="J192" s="0" t="n">
        <f aca="false">$G192*Home!$D$5</f>
        <v>0.5</v>
      </c>
      <c r="K192" s="0" t="n">
        <f aca="false">INDEX(Pantry!$I$7:$I$68,MATCH($C192,Pantry!$A$7:$A$68,0))</f>
        <v>2</v>
      </c>
      <c r="L192" s="0" t="n">
        <f aca="false">IF($K192&gt;=$J192-0.0001,1,0)</f>
        <v>1</v>
      </c>
      <c r="M192" s="0" t="n">
        <f aca="false">MAX(0,$J192-$K192)</f>
        <v>0</v>
      </c>
    </row>
    <row r="193" customFormat="false" ht="15" hidden="false" customHeight="false" outlineLevel="0" collapsed="false">
      <c r="A193" s="0" t="s">
        <v>95</v>
      </c>
      <c r="B193" s="0" t="s">
        <v>96</v>
      </c>
      <c r="C193" s="0" t="s">
        <v>264</v>
      </c>
      <c r="D193" s="0" t="n">
        <v>1</v>
      </c>
      <c r="E193" s="0" t="s">
        <v>209</v>
      </c>
      <c r="F193" s="0" t="n">
        <v>4</v>
      </c>
      <c r="G193" s="0" t="n">
        <f aca="false">$D193/$F193</f>
        <v>0.25</v>
      </c>
      <c r="H193" s="0" t="n">
        <f aca="false">SUMIFS(Home!$E$28:$E$39,Home!$B$28:$B$39,$B193)</f>
        <v>0</v>
      </c>
      <c r="I193" s="0" t="n">
        <f aca="false">$G193*$H193</f>
        <v>0</v>
      </c>
      <c r="J193" s="0" t="n">
        <f aca="false">$G193*Home!$D$5</f>
        <v>1</v>
      </c>
      <c r="K193" s="0" t="n">
        <f aca="false">INDEX(Pantry!$I$7:$I$68,MATCH($C193,Pantry!$A$7:$A$68,0))</f>
        <v>0</v>
      </c>
      <c r="L193" s="0" t="n">
        <f aca="false">IF($K193&gt;=$J193-0.0001,1,0)</f>
        <v>0</v>
      </c>
      <c r="M193" s="0" t="n">
        <f aca="false">MAX(0,$J193-$K193)</f>
        <v>1</v>
      </c>
    </row>
    <row r="194" customFormat="false" ht="15" hidden="false" customHeight="false" outlineLevel="0" collapsed="false">
      <c r="A194" s="0" t="s">
        <v>95</v>
      </c>
      <c r="B194" s="0" t="s">
        <v>96</v>
      </c>
      <c r="C194" s="0" t="s">
        <v>247</v>
      </c>
      <c r="D194" s="0" t="n">
        <v>2</v>
      </c>
      <c r="E194" s="0" t="s">
        <v>209</v>
      </c>
      <c r="F194" s="0" t="n">
        <v>4</v>
      </c>
      <c r="G194" s="0" t="n">
        <f aca="false">$D194/$F194</f>
        <v>0.5</v>
      </c>
      <c r="H194" s="0" t="n">
        <f aca="false">SUMIFS(Home!$E$28:$E$39,Home!$B$28:$B$39,$B194)</f>
        <v>0</v>
      </c>
      <c r="I194" s="0" t="n">
        <f aca="false">$G194*$H194</f>
        <v>0</v>
      </c>
      <c r="J194" s="0" t="n">
        <f aca="false">$G194*Home!$D$5</f>
        <v>2</v>
      </c>
      <c r="K194" s="0" t="n">
        <f aca="false">INDEX(Pantry!$I$7:$I$68,MATCH($C194,Pantry!$A$7:$A$68,0))</f>
        <v>5</v>
      </c>
      <c r="L194" s="0" t="n">
        <f aca="false">IF($K194&gt;=$J194-0.0001,1,0)</f>
        <v>1</v>
      </c>
      <c r="M194" s="0" t="n">
        <f aca="false">MAX(0,$J194-$K194)</f>
        <v>0</v>
      </c>
    </row>
    <row r="195" customFormat="false" ht="15" hidden="false" customHeight="false" outlineLevel="0" collapsed="false">
      <c r="A195" s="0" t="s">
        <v>95</v>
      </c>
      <c r="B195" s="0" t="s">
        <v>96</v>
      </c>
      <c r="C195" s="0" t="s">
        <v>259</v>
      </c>
      <c r="D195" s="0" t="n">
        <v>1</v>
      </c>
      <c r="E195" s="0" t="s">
        <v>209</v>
      </c>
      <c r="F195" s="0" t="n">
        <v>4</v>
      </c>
      <c r="G195" s="0" t="n">
        <f aca="false">$D195/$F195</f>
        <v>0.25</v>
      </c>
      <c r="H195" s="0" t="n">
        <f aca="false">SUMIFS(Home!$E$28:$E$39,Home!$B$28:$B$39,$B195)</f>
        <v>0</v>
      </c>
      <c r="I195" s="0" t="n">
        <f aca="false">$G195*$H195</f>
        <v>0</v>
      </c>
      <c r="J195" s="0" t="n">
        <f aca="false">$G195*Home!$D$5</f>
        <v>1</v>
      </c>
      <c r="K195" s="0" t="n">
        <f aca="false">INDEX(Pantry!$I$7:$I$68,MATCH($C195,Pantry!$A$7:$A$68,0))</f>
        <v>3</v>
      </c>
      <c r="L195" s="0" t="n">
        <f aca="false">IF($K195&gt;=$J195-0.0001,1,0)</f>
        <v>1</v>
      </c>
      <c r="M195" s="0" t="n">
        <f aca="false">MAX(0,$J195-$K195)</f>
        <v>0</v>
      </c>
    </row>
    <row r="196" customFormat="false" ht="15" hidden="false" customHeight="false" outlineLevel="0" collapsed="false">
      <c r="A196" s="0" t="s">
        <v>95</v>
      </c>
      <c r="B196" s="0" t="s">
        <v>96</v>
      </c>
      <c r="C196" s="0" t="s">
        <v>208</v>
      </c>
      <c r="D196" s="0" t="n">
        <v>2</v>
      </c>
      <c r="E196" s="0" t="s">
        <v>209</v>
      </c>
      <c r="F196" s="0" t="n">
        <v>4</v>
      </c>
      <c r="G196" s="0" t="n">
        <f aca="false">$D196/$F196</f>
        <v>0.5</v>
      </c>
      <c r="H196" s="0" t="n">
        <f aca="false">SUMIFS(Home!$E$28:$E$39,Home!$B$28:$B$39,$B196)</f>
        <v>0</v>
      </c>
      <c r="I196" s="0" t="n">
        <f aca="false">$G196*$H196</f>
        <v>0</v>
      </c>
      <c r="J196" s="0" t="n">
        <f aca="false">$G196*Home!$D$5</f>
        <v>2</v>
      </c>
      <c r="K196" s="0" t="n">
        <f aca="false">INDEX(Pantry!$I$7:$I$68,MATCH($C196,Pantry!$A$7:$A$68,0))</f>
        <v>6</v>
      </c>
      <c r="L196" s="0" t="n">
        <f aca="false">IF($K196&gt;=$J196-0.0001,1,0)</f>
        <v>1</v>
      </c>
      <c r="M196" s="0" t="n">
        <f aca="false">MAX(0,$J196-$K196)</f>
        <v>0</v>
      </c>
    </row>
    <row r="197" customFormat="false" ht="15" hidden="false" customHeight="false" outlineLevel="0" collapsed="false">
      <c r="A197" s="0" t="s">
        <v>95</v>
      </c>
      <c r="B197" s="0" t="s">
        <v>96</v>
      </c>
      <c r="C197" s="0" t="s">
        <v>210</v>
      </c>
      <c r="D197" s="0" t="n">
        <v>2</v>
      </c>
      <c r="E197" s="0" t="s">
        <v>209</v>
      </c>
      <c r="F197" s="0" t="n">
        <v>4</v>
      </c>
      <c r="G197" s="0" t="n">
        <f aca="false">$D197/$F197</f>
        <v>0.5</v>
      </c>
      <c r="H197" s="0" t="n">
        <f aca="false">SUMIFS(Home!$E$28:$E$39,Home!$B$28:$B$39,$B197)</f>
        <v>0</v>
      </c>
      <c r="I197" s="0" t="n">
        <f aca="false">$G197*$H197</f>
        <v>0</v>
      </c>
      <c r="J197" s="0" t="n">
        <f aca="false">$G197*Home!$D$5</f>
        <v>2</v>
      </c>
      <c r="K197" s="0" t="n">
        <f aca="false">INDEX(Pantry!$I$7:$I$68,MATCH($C197,Pantry!$A$7:$A$68,0))</f>
        <v>4</v>
      </c>
      <c r="L197" s="0" t="n">
        <f aca="false">IF($K197&gt;=$J197-0.0001,1,0)</f>
        <v>1</v>
      </c>
      <c r="M197" s="0" t="n">
        <f aca="false">MAX(0,$J197-$K197)</f>
        <v>0</v>
      </c>
    </row>
    <row r="198" customFormat="false" ht="15" hidden="false" customHeight="false" outlineLevel="0" collapsed="false">
      <c r="A198" s="0" t="s">
        <v>95</v>
      </c>
      <c r="B198" s="0" t="s">
        <v>96</v>
      </c>
      <c r="C198" s="0" t="s">
        <v>213</v>
      </c>
      <c r="D198" s="0" t="n">
        <v>1.5</v>
      </c>
      <c r="E198" s="0" t="s">
        <v>214</v>
      </c>
      <c r="F198" s="0" t="n">
        <v>4</v>
      </c>
      <c r="G198" s="0" t="n">
        <f aca="false">$D198/$F198</f>
        <v>0.375</v>
      </c>
      <c r="H198" s="0" t="n">
        <f aca="false">SUMIFS(Home!$E$28:$E$39,Home!$B$28:$B$39,$B198)</f>
        <v>0</v>
      </c>
      <c r="I198" s="0" t="n">
        <f aca="false">$G198*$H198</f>
        <v>0</v>
      </c>
      <c r="J198" s="0" t="n">
        <f aca="false">$G198*Home!$D$5</f>
        <v>1.5</v>
      </c>
      <c r="K198" s="0" t="n">
        <f aca="false">INDEX(Pantry!$I$7:$I$68,MATCH($C198,Pantry!$A$7:$A$68,0))</f>
        <v>1</v>
      </c>
      <c r="L198" s="0" t="n">
        <f aca="false">IF($K198&gt;=$J198-0.0001,1,0)</f>
        <v>0</v>
      </c>
      <c r="M198" s="0" t="n">
        <f aca="false">MAX(0,$J198-$K198)</f>
        <v>0.5</v>
      </c>
    </row>
    <row r="199" customFormat="false" ht="15" hidden="false" customHeight="false" outlineLevel="0" collapsed="false">
      <c r="A199" s="0" t="s">
        <v>95</v>
      </c>
      <c r="B199" s="0" t="s">
        <v>96</v>
      </c>
      <c r="C199" s="0" t="s">
        <v>227</v>
      </c>
      <c r="D199" s="0" t="n">
        <v>1.5</v>
      </c>
      <c r="E199" s="0" t="s">
        <v>223</v>
      </c>
      <c r="F199" s="0" t="n">
        <v>4</v>
      </c>
      <c r="G199" s="0" t="n">
        <f aca="false">$D199/$F199</f>
        <v>0.375</v>
      </c>
      <c r="H199" s="0" t="n">
        <f aca="false">SUMIFS(Home!$E$28:$E$39,Home!$B$28:$B$39,$B199)</f>
        <v>0</v>
      </c>
      <c r="I199" s="0" t="n">
        <f aca="false">$G199*$H199</f>
        <v>0</v>
      </c>
      <c r="J199" s="0" t="n">
        <f aca="false">$G199*Home!$D$5</f>
        <v>1.5</v>
      </c>
      <c r="K199" s="0" t="n">
        <f aca="false">INDEX(Pantry!$I$7:$I$68,MATCH($C199,Pantry!$A$7:$A$68,0))</f>
        <v>8</v>
      </c>
      <c r="L199" s="0" t="n">
        <f aca="false">IF($K199&gt;=$J199-0.0001,1,0)</f>
        <v>1</v>
      </c>
      <c r="M199" s="0" t="n">
        <f aca="false">MAX(0,$J199-$K199)</f>
        <v>0</v>
      </c>
    </row>
    <row r="200" customFormat="false" ht="15" hidden="false" customHeight="false" outlineLevel="0" collapsed="false">
      <c r="A200" s="0" t="s">
        <v>95</v>
      </c>
      <c r="B200" s="0" t="s">
        <v>96</v>
      </c>
      <c r="C200" s="0" t="s">
        <v>232</v>
      </c>
      <c r="D200" s="0" t="n">
        <v>1.5</v>
      </c>
      <c r="E200" s="0" t="s">
        <v>223</v>
      </c>
      <c r="F200" s="0" t="n">
        <v>4</v>
      </c>
      <c r="G200" s="0" t="n">
        <f aca="false">$D200/$F200</f>
        <v>0.375</v>
      </c>
      <c r="H200" s="0" t="n">
        <f aca="false">SUMIFS(Home!$E$28:$E$39,Home!$B$28:$B$39,$B200)</f>
        <v>0</v>
      </c>
      <c r="I200" s="0" t="n">
        <f aca="false">$G200*$H200</f>
        <v>0</v>
      </c>
      <c r="J200" s="0" t="n">
        <f aca="false">$G200*Home!$D$5</f>
        <v>1.5</v>
      </c>
      <c r="K200" s="0" t="n">
        <f aca="false">INDEX(Pantry!$I$7:$I$68,MATCH($C200,Pantry!$A$7:$A$68,0))</f>
        <v>20</v>
      </c>
      <c r="L200" s="0" t="n">
        <f aca="false">IF($K200&gt;=$J200-0.0001,1,0)</f>
        <v>1</v>
      </c>
      <c r="M200" s="0" t="n">
        <f aca="false">MAX(0,$J200-$K200)</f>
        <v>0</v>
      </c>
    </row>
    <row r="201" customFormat="false" ht="15" hidden="false" customHeight="false" outlineLevel="0" collapsed="false">
      <c r="A201" s="0" t="s">
        <v>95</v>
      </c>
      <c r="B201" s="0" t="s">
        <v>96</v>
      </c>
      <c r="C201" s="0" t="s">
        <v>233</v>
      </c>
      <c r="D201" s="0" t="n">
        <v>0.75</v>
      </c>
      <c r="E201" s="0" t="s">
        <v>223</v>
      </c>
      <c r="F201" s="0" t="n">
        <v>4</v>
      </c>
      <c r="G201" s="0" t="n">
        <f aca="false">$D201/$F201</f>
        <v>0.1875</v>
      </c>
      <c r="H201" s="0" t="n">
        <f aca="false">SUMIFS(Home!$E$28:$E$39,Home!$B$28:$B$39,$B201)</f>
        <v>0</v>
      </c>
      <c r="I201" s="0" t="n">
        <f aca="false">$G201*$H201</f>
        <v>0</v>
      </c>
      <c r="J201" s="0" t="n">
        <f aca="false">$G201*Home!$D$5</f>
        <v>0.75</v>
      </c>
      <c r="K201" s="0" t="n">
        <f aca="false">INDEX(Pantry!$I$7:$I$68,MATCH($C201,Pantry!$A$7:$A$68,0))</f>
        <v>15</v>
      </c>
      <c r="L201" s="0" t="n">
        <f aca="false">IF($K201&gt;=$J201-0.0001,1,0)</f>
        <v>1</v>
      </c>
      <c r="M201" s="0" t="n">
        <f aca="false">MAX(0,$J201-$K201)</f>
        <v>0</v>
      </c>
    </row>
    <row r="202" customFormat="false" ht="15" hidden="false" customHeight="false" outlineLevel="0" collapsed="false">
      <c r="A202" s="0" t="s">
        <v>95</v>
      </c>
      <c r="B202" s="0" t="s">
        <v>96</v>
      </c>
      <c r="C202" s="0" t="s">
        <v>234</v>
      </c>
      <c r="D202" s="0" t="n">
        <v>1.5</v>
      </c>
      <c r="E202" s="0" t="s">
        <v>223</v>
      </c>
      <c r="F202" s="0" t="n">
        <v>4</v>
      </c>
      <c r="G202" s="0" t="n">
        <f aca="false">$D202/$F202</f>
        <v>0.375</v>
      </c>
      <c r="H202" s="0" t="n">
        <f aca="false">SUMIFS(Home!$E$28:$E$39,Home!$B$28:$B$39,$B202)</f>
        <v>0</v>
      </c>
      <c r="I202" s="0" t="n">
        <f aca="false">$G202*$H202</f>
        <v>0</v>
      </c>
      <c r="J202" s="0" t="n">
        <f aca="false">$G202*Home!$D$5</f>
        <v>1.5</v>
      </c>
      <c r="K202" s="0" t="n">
        <f aca="false">INDEX(Pantry!$I$7:$I$68,MATCH($C202,Pantry!$A$7:$A$68,0))</f>
        <v>12</v>
      </c>
      <c r="L202" s="0" t="n">
        <f aca="false">IF($K202&gt;=$J202-0.0001,1,0)</f>
        <v>1</v>
      </c>
      <c r="M202" s="0" t="n">
        <f aca="false">MAX(0,$J202-$K202)</f>
        <v>0</v>
      </c>
    </row>
    <row r="203" customFormat="false" ht="15" hidden="false" customHeight="false" outlineLevel="0" collapsed="false">
      <c r="A203" s="0" t="s">
        <v>95</v>
      </c>
      <c r="B203" s="0" t="s">
        <v>96</v>
      </c>
      <c r="C203" s="0" t="s">
        <v>216</v>
      </c>
      <c r="D203" s="0" t="n">
        <v>0.5</v>
      </c>
      <c r="E203" s="0" t="s">
        <v>212</v>
      </c>
      <c r="F203" s="0" t="n">
        <v>4</v>
      </c>
      <c r="G203" s="0" t="n">
        <f aca="false">$D203/$F203</f>
        <v>0.125</v>
      </c>
      <c r="H203" s="0" t="n">
        <f aca="false">SUMIFS(Home!$E$28:$E$39,Home!$B$28:$B$39,$B203)</f>
        <v>0</v>
      </c>
      <c r="I203" s="0" t="n">
        <f aca="false">$G203*$H203</f>
        <v>0</v>
      </c>
      <c r="J203" s="0" t="n">
        <f aca="false">$G203*Home!$D$5</f>
        <v>0.5</v>
      </c>
      <c r="K203" s="0" t="n">
        <f aca="false">INDEX(Pantry!$I$7:$I$68,MATCH($C203,Pantry!$A$7:$A$68,0))</f>
        <v>5</v>
      </c>
      <c r="L203" s="0" t="n">
        <f aca="false">IF($K203&gt;=$J203-0.0001,1,0)</f>
        <v>1</v>
      </c>
      <c r="M203" s="0" t="n">
        <f aca="false">MAX(0,$J203-$K203)</f>
        <v>0</v>
      </c>
    </row>
    <row r="204" customFormat="false" ht="15" hidden="false" customHeight="false" outlineLevel="0" collapsed="false">
      <c r="A204" s="0" t="s">
        <v>95</v>
      </c>
      <c r="B204" s="0" t="s">
        <v>96</v>
      </c>
      <c r="C204" s="0" t="s">
        <v>222</v>
      </c>
      <c r="D204" s="0" t="n">
        <v>1.5</v>
      </c>
      <c r="E204" s="0" t="s">
        <v>223</v>
      </c>
      <c r="F204" s="0" t="n">
        <v>4</v>
      </c>
      <c r="G204" s="0" t="n">
        <f aca="false">$D204/$F204</f>
        <v>0.375</v>
      </c>
      <c r="H204" s="0" t="n">
        <f aca="false">SUMIFS(Home!$E$28:$E$39,Home!$B$28:$B$39,$B204)</f>
        <v>0</v>
      </c>
      <c r="I204" s="0" t="n">
        <f aca="false">$G204*$H204</f>
        <v>0</v>
      </c>
      <c r="J204" s="0" t="n">
        <f aca="false">$G204*Home!$D$5</f>
        <v>1.5</v>
      </c>
      <c r="K204" s="0" t="n">
        <f aca="false">INDEX(Pantry!$I$7:$I$68,MATCH($C204,Pantry!$A$7:$A$68,0))</f>
        <v>50</v>
      </c>
      <c r="L204" s="0" t="n">
        <f aca="false">IF($K204&gt;=$J204-0.0001,1,0)</f>
        <v>1</v>
      </c>
      <c r="M204" s="0" t="n">
        <f aca="false">MAX(0,$J204-$K204)</f>
        <v>0</v>
      </c>
    </row>
    <row r="205" customFormat="false" ht="15" hidden="false" customHeight="false" outlineLevel="0" collapsed="false">
      <c r="A205" s="0" t="s">
        <v>95</v>
      </c>
      <c r="B205" s="0" t="s">
        <v>96</v>
      </c>
      <c r="C205" s="0" t="s">
        <v>220</v>
      </c>
      <c r="D205" s="0" t="n">
        <v>3</v>
      </c>
      <c r="E205" s="0" t="s">
        <v>209</v>
      </c>
      <c r="F205" s="0" t="n">
        <v>4</v>
      </c>
      <c r="G205" s="0" t="n">
        <f aca="false">$D205/$F205</f>
        <v>0.75</v>
      </c>
      <c r="H205" s="0" t="n">
        <f aca="false">SUMIFS(Home!$E$28:$E$39,Home!$B$28:$B$39,$B205)</f>
        <v>0</v>
      </c>
      <c r="I205" s="0" t="n">
        <f aca="false">$G205*$H205</f>
        <v>0</v>
      </c>
      <c r="J205" s="0" t="n">
        <f aca="false">$G205*Home!$D$5</f>
        <v>3</v>
      </c>
      <c r="K205" s="0" t="n">
        <f aca="false">INDEX(Pantry!$I$7:$I$68,MATCH($C205,Pantry!$A$7:$A$68,0))</f>
        <v>10</v>
      </c>
      <c r="L205" s="0" t="n">
        <f aca="false">IF($K205&gt;=$J205-0.0001,1,0)</f>
        <v>1</v>
      </c>
      <c r="M205" s="0" t="n">
        <f aca="false">MAX(0,$J205-$K205)</f>
        <v>0</v>
      </c>
    </row>
    <row r="206" customFormat="false" ht="15" hidden="false" customHeight="false" outlineLevel="0" collapsed="false">
      <c r="A206" s="0" t="s">
        <v>95</v>
      </c>
      <c r="B206" s="0" t="s">
        <v>96</v>
      </c>
      <c r="C206" s="0" t="s">
        <v>219</v>
      </c>
      <c r="D206" s="0" t="n">
        <v>0.5</v>
      </c>
      <c r="E206" s="0" t="s">
        <v>218</v>
      </c>
      <c r="F206" s="0" t="n">
        <v>4</v>
      </c>
      <c r="G206" s="0" t="n">
        <f aca="false">$D206/$F206</f>
        <v>0.125</v>
      </c>
      <c r="H206" s="0" t="n">
        <f aca="false">SUMIFS(Home!$E$28:$E$39,Home!$B$28:$B$39,$B206)</f>
        <v>0</v>
      </c>
      <c r="I206" s="0" t="n">
        <f aca="false">$G206*$H206</f>
        <v>0</v>
      </c>
      <c r="J206" s="0" t="n">
        <f aca="false">$G206*Home!$D$5</f>
        <v>0.5</v>
      </c>
      <c r="K206" s="0" t="n">
        <f aca="false">INDEX(Pantry!$I$7:$I$68,MATCH($C206,Pantry!$A$7:$A$68,0))</f>
        <v>2</v>
      </c>
      <c r="L206" s="0" t="n">
        <f aca="false">IF($K206&gt;=$J206-0.0001,1,0)</f>
        <v>1</v>
      </c>
      <c r="M206" s="0" t="n">
        <f aca="false">MAX(0,$J206-$K206)</f>
        <v>0</v>
      </c>
    </row>
    <row r="207" customFormat="false" ht="15" hidden="false" customHeight="false" outlineLevel="0" collapsed="false">
      <c r="A207" s="0" t="s">
        <v>99</v>
      </c>
      <c r="B207" s="0" t="s">
        <v>100</v>
      </c>
      <c r="C207" s="0" t="s">
        <v>265</v>
      </c>
      <c r="D207" s="0" t="n">
        <v>500</v>
      </c>
      <c r="E207" s="0" t="s">
        <v>231</v>
      </c>
      <c r="F207" s="0" t="n">
        <v>4</v>
      </c>
      <c r="G207" s="0" t="n">
        <f aca="false">$D207/$F207</f>
        <v>125</v>
      </c>
      <c r="H207" s="0" t="n">
        <f aca="false">SUMIFS(Home!$E$28:$E$39,Home!$B$28:$B$39,$B207)</f>
        <v>0</v>
      </c>
      <c r="I207" s="0" t="n">
        <f aca="false">$G207*$H207</f>
        <v>0</v>
      </c>
      <c r="J207" s="0" t="n">
        <f aca="false">$G207*Home!$D$5</f>
        <v>500</v>
      </c>
      <c r="K207" s="0" t="n">
        <f aca="false">INDEX(Pantry!$I$7:$I$68,MATCH($C207,Pantry!$A$7:$A$68,0))</f>
        <v>0</v>
      </c>
      <c r="L207" s="0" t="n">
        <f aca="false">IF($K207&gt;=$J207-0.0001,1,0)</f>
        <v>0</v>
      </c>
      <c r="M207" s="0" t="n">
        <f aca="false">MAX(0,$J207-$K207)</f>
        <v>500</v>
      </c>
    </row>
    <row r="208" customFormat="false" ht="15" hidden="false" customHeight="false" outlineLevel="0" collapsed="false">
      <c r="A208" s="0" t="s">
        <v>99</v>
      </c>
      <c r="B208" s="0" t="s">
        <v>100</v>
      </c>
      <c r="C208" s="0" t="s">
        <v>249</v>
      </c>
      <c r="D208" s="0" t="n">
        <v>0.5</v>
      </c>
      <c r="E208" s="0" t="s">
        <v>206</v>
      </c>
      <c r="F208" s="0" t="n">
        <v>4</v>
      </c>
      <c r="G208" s="0" t="n">
        <f aca="false">$D208/$F208</f>
        <v>0.125</v>
      </c>
      <c r="H208" s="0" t="n">
        <f aca="false">SUMIFS(Home!$E$28:$E$39,Home!$B$28:$B$39,$B208)</f>
        <v>0</v>
      </c>
      <c r="I208" s="0" t="n">
        <f aca="false">$G208*$H208</f>
        <v>0</v>
      </c>
      <c r="J208" s="0" t="n">
        <f aca="false">$G208*Home!$D$5</f>
        <v>0.5</v>
      </c>
      <c r="K208" s="0" t="n">
        <f aca="false">INDEX(Pantry!$I$7:$I$68,MATCH($C208,Pantry!$A$7:$A$68,0))</f>
        <v>1</v>
      </c>
      <c r="L208" s="0" t="n">
        <f aca="false">IF($K208&gt;=$J208-0.0001,1,0)</f>
        <v>1</v>
      </c>
      <c r="M208" s="0" t="n">
        <f aca="false">MAX(0,$J208-$K208)</f>
        <v>0</v>
      </c>
    </row>
    <row r="209" customFormat="false" ht="15" hidden="false" customHeight="false" outlineLevel="0" collapsed="false">
      <c r="A209" s="0" t="s">
        <v>99</v>
      </c>
      <c r="B209" s="0" t="s">
        <v>100</v>
      </c>
      <c r="C209" s="0" t="s">
        <v>208</v>
      </c>
      <c r="D209" s="0" t="n">
        <v>2</v>
      </c>
      <c r="E209" s="0" t="s">
        <v>209</v>
      </c>
      <c r="F209" s="0" t="n">
        <v>4</v>
      </c>
      <c r="G209" s="0" t="n">
        <f aca="false">$D209/$F209</f>
        <v>0.5</v>
      </c>
      <c r="H209" s="0" t="n">
        <f aca="false">SUMIFS(Home!$E$28:$E$39,Home!$B$28:$B$39,$B209)</f>
        <v>0</v>
      </c>
      <c r="I209" s="0" t="n">
        <f aca="false">$G209*$H209</f>
        <v>0</v>
      </c>
      <c r="J209" s="0" t="n">
        <f aca="false">$G209*Home!$D$5</f>
        <v>2</v>
      </c>
      <c r="K209" s="0" t="n">
        <f aca="false">INDEX(Pantry!$I$7:$I$68,MATCH($C209,Pantry!$A$7:$A$68,0))</f>
        <v>6</v>
      </c>
      <c r="L209" s="0" t="n">
        <f aca="false">IF($K209&gt;=$J209-0.0001,1,0)</f>
        <v>1</v>
      </c>
      <c r="M209" s="0" t="n">
        <f aca="false">MAX(0,$J209-$K209)</f>
        <v>0</v>
      </c>
    </row>
    <row r="210" customFormat="false" ht="15" hidden="false" customHeight="false" outlineLevel="0" collapsed="false">
      <c r="A210" s="0" t="s">
        <v>99</v>
      </c>
      <c r="B210" s="0" t="s">
        <v>100</v>
      </c>
      <c r="C210" s="0" t="s">
        <v>210</v>
      </c>
      <c r="D210" s="0" t="n">
        <v>2</v>
      </c>
      <c r="E210" s="0" t="s">
        <v>209</v>
      </c>
      <c r="F210" s="0" t="n">
        <v>4</v>
      </c>
      <c r="G210" s="0" t="n">
        <f aca="false">$D210/$F210</f>
        <v>0.5</v>
      </c>
      <c r="H210" s="0" t="n">
        <f aca="false">SUMIFS(Home!$E$28:$E$39,Home!$B$28:$B$39,$B210)</f>
        <v>0</v>
      </c>
      <c r="I210" s="0" t="n">
        <f aca="false">$G210*$H210</f>
        <v>0</v>
      </c>
      <c r="J210" s="0" t="n">
        <f aca="false">$G210*Home!$D$5</f>
        <v>2</v>
      </c>
      <c r="K210" s="0" t="n">
        <f aca="false">INDEX(Pantry!$I$7:$I$68,MATCH($C210,Pantry!$A$7:$A$68,0))</f>
        <v>4</v>
      </c>
      <c r="L210" s="0" t="n">
        <f aca="false">IF($K210&gt;=$J210-0.0001,1,0)</f>
        <v>1</v>
      </c>
      <c r="M210" s="0" t="n">
        <f aca="false">MAX(0,$J210-$K210)</f>
        <v>0</v>
      </c>
    </row>
    <row r="211" customFormat="false" ht="15" hidden="false" customHeight="false" outlineLevel="0" collapsed="false">
      <c r="A211" s="0" t="s">
        <v>99</v>
      </c>
      <c r="B211" s="0" t="s">
        <v>100</v>
      </c>
      <c r="C211" s="0" t="s">
        <v>213</v>
      </c>
      <c r="D211" s="0" t="n">
        <v>1.5</v>
      </c>
      <c r="E211" s="0" t="s">
        <v>214</v>
      </c>
      <c r="F211" s="0" t="n">
        <v>4</v>
      </c>
      <c r="G211" s="0" t="n">
        <f aca="false">$D211/$F211</f>
        <v>0.375</v>
      </c>
      <c r="H211" s="0" t="n">
        <f aca="false">SUMIFS(Home!$E$28:$E$39,Home!$B$28:$B$39,$B211)</f>
        <v>0</v>
      </c>
      <c r="I211" s="0" t="n">
        <f aca="false">$G211*$H211</f>
        <v>0</v>
      </c>
      <c r="J211" s="0" t="n">
        <f aca="false">$G211*Home!$D$5</f>
        <v>1.5</v>
      </c>
      <c r="K211" s="0" t="n">
        <f aca="false">INDEX(Pantry!$I$7:$I$68,MATCH($C211,Pantry!$A$7:$A$68,0))</f>
        <v>1</v>
      </c>
      <c r="L211" s="0" t="n">
        <f aca="false">IF($K211&gt;=$J211-0.0001,1,0)</f>
        <v>0</v>
      </c>
      <c r="M211" s="0" t="n">
        <f aca="false">MAX(0,$J211-$K211)</f>
        <v>0.5</v>
      </c>
    </row>
    <row r="212" customFormat="false" ht="15" hidden="false" customHeight="false" outlineLevel="0" collapsed="false">
      <c r="A212" s="0" t="s">
        <v>99</v>
      </c>
      <c r="B212" s="0" t="s">
        <v>100</v>
      </c>
      <c r="C212" s="0" t="s">
        <v>232</v>
      </c>
      <c r="D212" s="0" t="n">
        <v>1.5</v>
      </c>
      <c r="E212" s="0" t="s">
        <v>223</v>
      </c>
      <c r="F212" s="0" t="n">
        <v>4</v>
      </c>
      <c r="G212" s="0" t="n">
        <f aca="false">$D212/$F212</f>
        <v>0.375</v>
      </c>
      <c r="H212" s="0" t="n">
        <f aca="false">SUMIFS(Home!$E$28:$E$39,Home!$B$28:$B$39,$B212)</f>
        <v>0</v>
      </c>
      <c r="I212" s="0" t="n">
        <f aca="false">$G212*$H212</f>
        <v>0</v>
      </c>
      <c r="J212" s="0" t="n">
        <f aca="false">$G212*Home!$D$5</f>
        <v>1.5</v>
      </c>
      <c r="K212" s="0" t="n">
        <f aca="false">INDEX(Pantry!$I$7:$I$68,MATCH($C212,Pantry!$A$7:$A$68,0))</f>
        <v>20</v>
      </c>
      <c r="L212" s="0" t="n">
        <f aca="false">IF($K212&gt;=$J212-0.0001,1,0)</f>
        <v>1</v>
      </c>
      <c r="M212" s="0" t="n">
        <f aca="false">MAX(0,$J212-$K212)</f>
        <v>0</v>
      </c>
    </row>
    <row r="213" customFormat="false" ht="15" hidden="false" customHeight="false" outlineLevel="0" collapsed="false">
      <c r="A213" s="0" t="s">
        <v>99</v>
      </c>
      <c r="B213" s="0" t="s">
        <v>100</v>
      </c>
      <c r="C213" s="0" t="s">
        <v>233</v>
      </c>
      <c r="D213" s="0" t="n">
        <v>0.75</v>
      </c>
      <c r="E213" s="0" t="s">
        <v>223</v>
      </c>
      <c r="F213" s="0" t="n">
        <v>4</v>
      </c>
      <c r="G213" s="0" t="n">
        <f aca="false">$D213/$F213</f>
        <v>0.1875</v>
      </c>
      <c r="H213" s="0" t="n">
        <f aca="false">SUMIFS(Home!$E$28:$E$39,Home!$B$28:$B$39,$B213)</f>
        <v>0</v>
      </c>
      <c r="I213" s="0" t="n">
        <f aca="false">$G213*$H213</f>
        <v>0</v>
      </c>
      <c r="J213" s="0" t="n">
        <f aca="false">$G213*Home!$D$5</f>
        <v>0.75</v>
      </c>
      <c r="K213" s="0" t="n">
        <f aca="false">INDEX(Pantry!$I$7:$I$68,MATCH($C213,Pantry!$A$7:$A$68,0))</f>
        <v>15</v>
      </c>
      <c r="L213" s="0" t="n">
        <f aca="false">IF($K213&gt;=$J213-0.0001,1,0)</f>
        <v>1</v>
      </c>
      <c r="M213" s="0" t="n">
        <f aca="false">MAX(0,$J213-$K213)</f>
        <v>0</v>
      </c>
    </row>
    <row r="214" customFormat="false" ht="15" hidden="false" customHeight="false" outlineLevel="0" collapsed="false">
      <c r="A214" s="0" t="s">
        <v>99</v>
      </c>
      <c r="B214" s="0" t="s">
        <v>100</v>
      </c>
      <c r="C214" s="0" t="s">
        <v>235</v>
      </c>
      <c r="D214" s="0" t="n">
        <v>1</v>
      </c>
      <c r="E214" s="0" t="s">
        <v>223</v>
      </c>
      <c r="F214" s="0" t="n">
        <v>4</v>
      </c>
      <c r="G214" s="0" t="n">
        <f aca="false">$D214/$F214</f>
        <v>0.25</v>
      </c>
      <c r="H214" s="0" t="n">
        <f aca="false">SUMIFS(Home!$E$28:$E$39,Home!$B$28:$B$39,$B214)</f>
        <v>0</v>
      </c>
      <c r="I214" s="0" t="n">
        <f aca="false">$G214*$H214</f>
        <v>0</v>
      </c>
      <c r="J214" s="0" t="n">
        <f aca="false">$G214*Home!$D$5</f>
        <v>1</v>
      </c>
      <c r="K214" s="0" t="n">
        <f aca="false">INDEX(Pantry!$I$7:$I$68,MATCH($C214,Pantry!$A$7:$A$68,0))</f>
        <v>10</v>
      </c>
      <c r="L214" s="0" t="n">
        <f aca="false">IF($K214&gt;=$J214-0.0001,1,0)</f>
        <v>1</v>
      </c>
      <c r="M214" s="0" t="n">
        <f aca="false">MAX(0,$J214-$K214)</f>
        <v>0</v>
      </c>
    </row>
    <row r="215" customFormat="false" ht="15" hidden="false" customHeight="false" outlineLevel="0" collapsed="false">
      <c r="A215" s="0" t="s">
        <v>99</v>
      </c>
      <c r="B215" s="0" t="s">
        <v>100</v>
      </c>
      <c r="C215" s="0" t="s">
        <v>216</v>
      </c>
      <c r="D215" s="0" t="n">
        <v>0.75</v>
      </c>
      <c r="E215" s="0" t="s">
        <v>212</v>
      </c>
      <c r="F215" s="0" t="n">
        <v>4</v>
      </c>
      <c r="G215" s="0" t="n">
        <f aca="false">$D215/$F215</f>
        <v>0.1875</v>
      </c>
      <c r="H215" s="0" t="n">
        <f aca="false">SUMIFS(Home!$E$28:$E$39,Home!$B$28:$B$39,$B215)</f>
        <v>0</v>
      </c>
      <c r="I215" s="0" t="n">
        <f aca="false">$G215*$H215</f>
        <v>0</v>
      </c>
      <c r="J215" s="0" t="n">
        <f aca="false">$G215*Home!$D$5</f>
        <v>0.75</v>
      </c>
      <c r="K215" s="0" t="n">
        <f aca="false">INDEX(Pantry!$I$7:$I$68,MATCH($C215,Pantry!$A$7:$A$68,0))</f>
        <v>5</v>
      </c>
      <c r="L215" s="0" t="n">
        <f aca="false">IF($K215&gt;=$J215-0.0001,1,0)</f>
        <v>1</v>
      </c>
      <c r="M215" s="0" t="n">
        <f aca="false">MAX(0,$J215-$K215)</f>
        <v>0</v>
      </c>
    </row>
    <row r="216" customFormat="false" ht="15" hidden="false" customHeight="false" outlineLevel="0" collapsed="false">
      <c r="A216" s="0" t="s">
        <v>99</v>
      </c>
      <c r="B216" s="0" t="s">
        <v>100</v>
      </c>
      <c r="C216" s="0" t="s">
        <v>222</v>
      </c>
      <c r="D216" s="0" t="n">
        <v>2</v>
      </c>
      <c r="E216" s="0" t="s">
        <v>223</v>
      </c>
      <c r="F216" s="0" t="n">
        <v>4</v>
      </c>
      <c r="G216" s="0" t="n">
        <f aca="false">$D216/$F216</f>
        <v>0.5</v>
      </c>
      <c r="H216" s="0" t="n">
        <f aca="false">SUMIFS(Home!$E$28:$E$39,Home!$B$28:$B$39,$B216)</f>
        <v>0</v>
      </c>
      <c r="I216" s="0" t="n">
        <f aca="false">$G216*$H216</f>
        <v>0</v>
      </c>
      <c r="J216" s="0" t="n">
        <f aca="false">$G216*Home!$D$5</f>
        <v>2</v>
      </c>
      <c r="K216" s="0" t="n">
        <f aca="false">INDEX(Pantry!$I$7:$I$68,MATCH($C216,Pantry!$A$7:$A$68,0))</f>
        <v>50</v>
      </c>
      <c r="L216" s="0" t="n">
        <f aca="false">IF($K216&gt;=$J216-0.0001,1,0)</f>
        <v>1</v>
      </c>
      <c r="M216" s="0" t="n">
        <f aca="false">MAX(0,$J216-$K216)</f>
        <v>0</v>
      </c>
    </row>
    <row r="217" customFormat="false" ht="15" hidden="false" customHeight="false" outlineLevel="0" collapsed="false">
      <c r="A217" s="0" t="s">
        <v>99</v>
      </c>
      <c r="B217" s="0" t="s">
        <v>100</v>
      </c>
      <c r="C217" s="0" t="s">
        <v>220</v>
      </c>
      <c r="D217" s="0" t="n">
        <v>3</v>
      </c>
      <c r="E217" s="0" t="s">
        <v>209</v>
      </c>
      <c r="F217" s="0" t="n">
        <v>4</v>
      </c>
      <c r="G217" s="0" t="n">
        <f aca="false">$D217/$F217</f>
        <v>0.75</v>
      </c>
      <c r="H217" s="0" t="n">
        <f aca="false">SUMIFS(Home!$E$28:$E$39,Home!$B$28:$B$39,$B217)</f>
        <v>0</v>
      </c>
      <c r="I217" s="0" t="n">
        <f aca="false">$G217*$H217</f>
        <v>0</v>
      </c>
      <c r="J217" s="0" t="n">
        <f aca="false">$G217*Home!$D$5</f>
        <v>3</v>
      </c>
      <c r="K217" s="0" t="n">
        <f aca="false">INDEX(Pantry!$I$7:$I$68,MATCH($C217,Pantry!$A$7:$A$68,0))</f>
        <v>10</v>
      </c>
      <c r="L217" s="0" t="n">
        <f aca="false">IF($K217&gt;=$J217-0.0001,1,0)</f>
        <v>1</v>
      </c>
      <c r="M217" s="0" t="n">
        <f aca="false">MAX(0,$J217-$K217)</f>
        <v>0</v>
      </c>
    </row>
    <row r="218" customFormat="false" ht="15" hidden="false" customHeight="false" outlineLevel="0" collapsed="false">
      <c r="A218" s="0" t="s">
        <v>99</v>
      </c>
      <c r="B218" s="0" t="s">
        <v>100</v>
      </c>
      <c r="C218" s="0" t="s">
        <v>219</v>
      </c>
      <c r="D218" s="0" t="n">
        <v>0.5</v>
      </c>
      <c r="E218" s="0" t="s">
        <v>218</v>
      </c>
      <c r="F218" s="0" t="n">
        <v>4</v>
      </c>
      <c r="G218" s="0" t="n">
        <f aca="false">$D218/$F218</f>
        <v>0.125</v>
      </c>
      <c r="H218" s="0" t="n">
        <f aca="false">SUMIFS(Home!$E$28:$E$39,Home!$B$28:$B$39,$B218)</f>
        <v>0</v>
      </c>
      <c r="I218" s="0" t="n">
        <f aca="false">$G218*$H218</f>
        <v>0</v>
      </c>
      <c r="J218" s="0" t="n">
        <f aca="false">$G218*Home!$D$5</f>
        <v>0.5</v>
      </c>
      <c r="K218" s="0" t="n">
        <f aca="false">INDEX(Pantry!$I$7:$I$68,MATCH($C218,Pantry!$A$7:$A$68,0))</f>
        <v>2</v>
      </c>
      <c r="L218" s="0" t="n">
        <f aca="false">IF($K218&gt;=$J218-0.0001,1,0)</f>
        <v>1</v>
      </c>
      <c r="M218" s="0" t="n">
        <f aca="false">MAX(0,$J218-$K218)</f>
        <v>0</v>
      </c>
    </row>
    <row r="219" customFormat="false" ht="15" hidden="false" customHeight="false" outlineLevel="0" collapsed="false">
      <c r="A219" s="0" t="s">
        <v>103</v>
      </c>
      <c r="B219" s="0" t="s">
        <v>104</v>
      </c>
      <c r="C219" s="0" t="s">
        <v>247</v>
      </c>
      <c r="D219" s="0" t="n">
        <v>5</v>
      </c>
      <c r="E219" s="0" t="s">
        <v>209</v>
      </c>
      <c r="F219" s="0" t="n">
        <v>4</v>
      </c>
      <c r="G219" s="0" t="n">
        <f aca="false">$D219/$F219</f>
        <v>1.25</v>
      </c>
      <c r="H219" s="0" t="n">
        <f aca="false">SUMIFS(Home!$E$28:$E$39,Home!$B$28:$B$39,$B219)</f>
        <v>0</v>
      </c>
      <c r="I219" s="0" t="n">
        <f aca="false">$G219*$H219</f>
        <v>0</v>
      </c>
      <c r="J219" s="0" t="n">
        <f aca="false">$G219*Home!$D$5</f>
        <v>5</v>
      </c>
      <c r="K219" s="0" t="n">
        <f aca="false">INDEX(Pantry!$I$7:$I$68,MATCH($C219,Pantry!$A$7:$A$68,0))</f>
        <v>5</v>
      </c>
      <c r="L219" s="0" t="n">
        <f aca="false">IF($K219&gt;=$J219-0.0001,1,0)</f>
        <v>1</v>
      </c>
      <c r="M219" s="0" t="n">
        <f aca="false">MAX(0,$J219-$K219)</f>
        <v>0</v>
      </c>
    </row>
    <row r="220" customFormat="false" ht="15" hidden="false" customHeight="false" outlineLevel="0" collapsed="false">
      <c r="A220" s="0" t="s">
        <v>103</v>
      </c>
      <c r="B220" s="0" t="s">
        <v>104</v>
      </c>
      <c r="C220" s="0" t="s">
        <v>208</v>
      </c>
      <c r="D220" s="0" t="n">
        <v>1</v>
      </c>
      <c r="E220" s="0" t="s">
        <v>209</v>
      </c>
      <c r="F220" s="0" t="n">
        <v>4</v>
      </c>
      <c r="G220" s="0" t="n">
        <f aca="false">$D220/$F220</f>
        <v>0.25</v>
      </c>
      <c r="H220" s="0" t="n">
        <f aca="false">SUMIFS(Home!$E$28:$E$39,Home!$B$28:$B$39,$B220)</f>
        <v>0</v>
      </c>
      <c r="I220" s="0" t="n">
        <f aca="false">$G220*$H220</f>
        <v>0</v>
      </c>
      <c r="J220" s="0" t="n">
        <f aca="false">$G220*Home!$D$5</f>
        <v>1</v>
      </c>
      <c r="K220" s="0" t="n">
        <f aca="false">INDEX(Pantry!$I$7:$I$68,MATCH($C220,Pantry!$A$7:$A$68,0))</f>
        <v>6</v>
      </c>
      <c r="L220" s="0" t="n">
        <f aca="false">IF($K220&gt;=$J220-0.0001,1,0)</f>
        <v>1</v>
      </c>
      <c r="M220" s="0" t="n">
        <f aca="false">MAX(0,$J220-$K220)</f>
        <v>0</v>
      </c>
    </row>
    <row r="221" customFormat="false" ht="15" hidden="false" customHeight="false" outlineLevel="0" collapsed="false">
      <c r="A221" s="0" t="s">
        <v>103</v>
      </c>
      <c r="B221" s="0" t="s">
        <v>104</v>
      </c>
      <c r="C221" s="0" t="s">
        <v>210</v>
      </c>
      <c r="D221" s="0" t="n">
        <v>2</v>
      </c>
      <c r="E221" s="0" t="s">
        <v>209</v>
      </c>
      <c r="F221" s="0" t="n">
        <v>4</v>
      </c>
      <c r="G221" s="0" t="n">
        <f aca="false">$D221/$F221</f>
        <v>0.5</v>
      </c>
      <c r="H221" s="0" t="n">
        <f aca="false">SUMIFS(Home!$E$28:$E$39,Home!$B$28:$B$39,$B221)</f>
        <v>0</v>
      </c>
      <c r="I221" s="0" t="n">
        <f aca="false">$G221*$H221</f>
        <v>0</v>
      </c>
      <c r="J221" s="0" t="n">
        <f aca="false">$G221*Home!$D$5</f>
        <v>2</v>
      </c>
      <c r="K221" s="0" t="n">
        <f aca="false">INDEX(Pantry!$I$7:$I$68,MATCH($C221,Pantry!$A$7:$A$68,0))</f>
        <v>4</v>
      </c>
      <c r="L221" s="0" t="n">
        <f aca="false">IF($K221&gt;=$J221-0.0001,1,0)</f>
        <v>1</v>
      </c>
      <c r="M221" s="0" t="n">
        <f aca="false">MAX(0,$J221-$K221)</f>
        <v>0</v>
      </c>
    </row>
    <row r="222" customFormat="false" ht="15" hidden="false" customHeight="false" outlineLevel="0" collapsed="false">
      <c r="A222" s="0" t="s">
        <v>103</v>
      </c>
      <c r="B222" s="0" t="s">
        <v>104</v>
      </c>
      <c r="C222" s="0" t="s">
        <v>227</v>
      </c>
      <c r="D222" s="0" t="n">
        <v>1.5</v>
      </c>
      <c r="E222" s="0" t="s">
        <v>223</v>
      </c>
      <c r="F222" s="0" t="n">
        <v>4</v>
      </c>
      <c r="G222" s="0" t="n">
        <f aca="false">$D222/$F222</f>
        <v>0.375</v>
      </c>
      <c r="H222" s="0" t="n">
        <f aca="false">SUMIFS(Home!$E$28:$E$39,Home!$B$28:$B$39,$B222)</f>
        <v>0</v>
      </c>
      <c r="I222" s="0" t="n">
        <f aca="false">$G222*$H222</f>
        <v>0</v>
      </c>
      <c r="J222" s="0" t="n">
        <f aca="false">$G222*Home!$D$5</f>
        <v>1.5</v>
      </c>
      <c r="K222" s="0" t="n">
        <f aca="false">INDEX(Pantry!$I$7:$I$68,MATCH($C222,Pantry!$A$7:$A$68,0))</f>
        <v>8</v>
      </c>
      <c r="L222" s="0" t="n">
        <f aca="false">IF($K222&gt;=$J222-0.0001,1,0)</f>
        <v>1</v>
      </c>
      <c r="M222" s="0" t="n">
        <f aca="false">MAX(0,$J222-$K222)</f>
        <v>0</v>
      </c>
    </row>
    <row r="223" customFormat="false" ht="15" hidden="false" customHeight="false" outlineLevel="0" collapsed="false">
      <c r="A223" s="0" t="s">
        <v>103</v>
      </c>
      <c r="B223" s="0" t="s">
        <v>104</v>
      </c>
      <c r="C223" s="0" t="s">
        <v>242</v>
      </c>
      <c r="D223" s="0" t="n">
        <v>2</v>
      </c>
      <c r="E223" s="0" t="s">
        <v>243</v>
      </c>
      <c r="F223" s="0" t="n">
        <v>4</v>
      </c>
      <c r="G223" s="0" t="n">
        <f aca="false">$D223/$F223</f>
        <v>0.5</v>
      </c>
      <c r="H223" s="0" t="n">
        <f aca="false">SUMIFS(Home!$E$28:$E$39,Home!$B$28:$B$39,$B223)</f>
        <v>0</v>
      </c>
      <c r="I223" s="0" t="n">
        <f aca="false">$G223*$H223</f>
        <v>0</v>
      </c>
      <c r="J223" s="0" t="n">
        <f aca="false">$G223*Home!$D$5</f>
        <v>2</v>
      </c>
      <c r="K223" s="0" t="n">
        <f aca="false">INDEX(Pantry!$I$7:$I$68,MATCH($C223,Pantry!$A$7:$A$68,0))</f>
        <v>4</v>
      </c>
      <c r="L223" s="0" t="n">
        <f aca="false">IF($K223&gt;=$J223-0.0001,1,0)</f>
        <v>1</v>
      </c>
      <c r="M223" s="0" t="n">
        <f aca="false">MAX(0,$J223-$K223)</f>
        <v>0</v>
      </c>
    </row>
    <row r="224" customFormat="false" ht="15" hidden="false" customHeight="false" outlineLevel="0" collapsed="false">
      <c r="A224" s="0" t="s">
        <v>103</v>
      </c>
      <c r="B224" s="0" t="s">
        <v>104</v>
      </c>
      <c r="C224" s="0" t="s">
        <v>232</v>
      </c>
      <c r="D224" s="0" t="n">
        <v>1.5</v>
      </c>
      <c r="E224" s="0" t="s">
        <v>223</v>
      </c>
      <c r="F224" s="0" t="n">
        <v>4</v>
      </c>
      <c r="G224" s="0" t="n">
        <f aca="false">$D224/$F224</f>
        <v>0.375</v>
      </c>
      <c r="H224" s="0" t="n">
        <f aca="false">SUMIFS(Home!$E$28:$E$39,Home!$B$28:$B$39,$B224)</f>
        <v>0</v>
      </c>
      <c r="I224" s="0" t="n">
        <f aca="false">$G224*$H224</f>
        <v>0</v>
      </c>
      <c r="J224" s="0" t="n">
        <f aca="false">$G224*Home!$D$5</f>
        <v>1.5</v>
      </c>
      <c r="K224" s="0" t="n">
        <f aca="false">INDEX(Pantry!$I$7:$I$68,MATCH($C224,Pantry!$A$7:$A$68,0))</f>
        <v>20</v>
      </c>
      <c r="L224" s="0" t="n">
        <f aca="false">IF($K224&gt;=$J224-0.0001,1,0)</f>
        <v>1</v>
      </c>
      <c r="M224" s="0" t="n">
        <f aca="false">MAX(0,$J224-$K224)</f>
        <v>0</v>
      </c>
    </row>
    <row r="225" customFormat="false" ht="15" hidden="false" customHeight="false" outlineLevel="0" collapsed="false">
      <c r="A225" s="0" t="s">
        <v>103</v>
      </c>
      <c r="B225" s="0" t="s">
        <v>104</v>
      </c>
      <c r="C225" s="0" t="s">
        <v>233</v>
      </c>
      <c r="D225" s="0" t="n">
        <v>0.75</v>
      </c>
      <c r="E225" s="0" t="s">
        <v>223</v>
      </c>
      <c r="F225" s="0" t="n">
        <v>4</v>
      </c>
      <c r="G225" s="0" t="n">
        <f aca="false">$D225/$F225</f>
        <v>0.1875</v>
      </c>
      <c r="H225" s="0" t="n">
        <f aca="false">SUMIFS(Home!$E$28:$E$39,Home!$B$28:$B$39,$B225)</f>
        <v>0</v>
      </c>
      <c r="I225" s="0" t="n">
        <f aca="false">$G225*$H225</f>
        <v>0</v>
      </c>
      <c r="J225" s="0" t="n">
        <f aca="false">$G225*Home!$D$5</f>
        <v>0.75</v>
      </c>
      <c r="K225" s="0" t="n">
        <f aca="false">INDEX(Pantry!$I$7:$I$68,MATCH($C225,Pantry!$A$7:$A$68,0))</f>
        <v>15</v>
      </c>
      <c r="L225" s="0" t="n">
        <f aca="false">IF($K225&gt;=$J225-0.0001,1,0)</f>
        <v>1</v>
      </c>
      <c r="M225" s="0" t="n">
        <f aca="false">MAX(0,$J225-$K225)</f>
        <v>0</v>
      </c>
    </row>
    <row r="226" customFormat="false" ht="15" hidden="false" customHeight="false" outlineLevel="0" collapsed="false">
      <c r="A226" s="0" t="s">
        <v>103</v>
      </c>
      <c r="B226" s="0" t="s">
        <v>104</v>
      </c>
      <c r="C226" s="0" t="s">
        <v>216</v>
      </c>
      <c r="D226" s="0" t="n">
        <v>0.5</v>
      </c>
      <c r="E226" s="0" t="s">
        <v>212</v>
      </c>
      <c r="F226" s="0" t="n">
        <v>4</v>
      </c>
      <c r="G226" s="0" t="n">
        <f aca="false">$D226/$F226</f>
        <v>0.125</v>
      </c>
      <c r="H226" s="0" t="n">
        <f aca="false">SUMIFS(Home!$E$28:$E$39,Home!$B$28:$B$39,$B226)</f>
        <v>0</v>
      </c>
      <c r="I226" s="0" t="n">
        <f aca="false">$G226*$H226</f>
        <v>0</v>
      </c>
      <c r="J226" s="0" t="n">
        <f aca="false">$G226*Home!$D$5</f>
        <v>0.5</v>
      </c>
      <c r="K226" s="0" t="n">
        <f aca="false">INDEX(Pantry!$I$7:$I$68,MATCH($C226,Pantry!$A$7:$A$68,0))</f>
        <v>5</v>
      </c>
      <c r="L226" s="0" t="n">
        <f aca="false">IF($K226&gt;=$J226-0.0001,1,0)</f>
        <v>1</v>
      </c>
      <c r="M226" s="0" t="n">
        <f aca="false">MAX(0,$J226-$K226)</f>
        <v>0</v>
      </c>
    </row>
    <row r="227" customFormat="false" ht="15" hidden="false" customHeight="false" outlineLevel="0" collapsed="false">
      <c r="A227" s="0" t="s">
        <v>103</v>
      </c>
      <c r="B227" s="0" t="s">
        <v>104</v>
      </c>
      <c r="C227" s="0" t="s">
        <v>222</v>
      </c>
      <c r="D227" s="0" t="n">
        <v>1.5</v>
      </c>
      <c r="E227" s="0" t="s">
        <v>223</v>
      </c>
      <c r="F227" s="0" t="n">
        <v>4</v>
      </c>
      <c r="G227" s="0" t="n">
        <f aca="false">$D227/$F227</f>
        <v>0.375</v>
      </c>
      <c r="H227" s="0" t="n">
        <f aca="false">SUMIFS(Home!$E$28:$E$39,Home!$B$28:$B$39,$B227)</f>
        <v>0</v>
      </c>
      <c r="I227" s="0" t="n">
        <f aca="false">$G227*$H227</f>
        <v>0</v>
      </c>
      <c r="J227" s="0" t="n">
        <f aca="false">$G227*Home!$D$5</f>
        <v>1.5</v>
      </c>
      <c r="K227" s="0" t="n">
        <f aca="false">INDEX(Pantry!$I$7:$I$68,MATCH($C227,Pantry!$A$7:$A$68,0))</f>
        <v>50</v>
      </c>
      <c r="L227" s="0" t="n">
        <f aca="false">IF($K227&gt;=$J227-0.0001,1,0)</f>
        <v>1</v>
      </c>
      <c r="M227" s="0" t="n">
        <f aca="false">MAX(0,$J227-$K227)</f>
        <v>0</v>
      </c>
    </row>
    <row r="228" customFormat="false" ht="15" hidden="false" customHeight="false" outlineLevel="0" collapsed="false">
      <c r="A228" s="0" t="s">
        <v>103</v>
      </c>
      <c r="B228" s="0" t="s">
        <v>104</v>
      </c>
      <c r="C228" s="0" t="s">
        <v>220</v>
      </c>
      <c r="D228" s="0" t="n">
        <v>3</v>
      </c>
      <c r="E228" s="0" t="s">
        <v>209</v>
      </c>
      <c r="F228" s="0" t="n">
        <v>4</v>
      </c>
      <c r="G228" s="0" t="n">
        <f aca="false">$D228/$F228</f>
        <v>0.75</v>
      </c>
      <c r="H228" s="0" t="n">
        <f aca="false">SUMIFS(Home!$E$28:$E$39,Home!$B$28:$B$39,$B228)</f>
        <v>0</v>
      </c>
      <c r="I228" s="0" t="n">
        <f aca="false">$G228*$H228</f>
        <v>0</v>
      </c>
      <c r="J228" s="0" t="n">
        <f aca="false">$G228*Home!$D$5</f>
        <v>3</v>
      </c>
      <c r="K228" s="0" t="n">
        <f aca="false">INDEX(Pantry!$I$7:$I$68,MATCH($C228,Pantry!$A$7:$A$68,0))</f>
        <v>10</v>
      </c>
      <c r="L228" s="0" t="n">
        <f aca="false">IF($K228&gt;=$J228-0.0001,1,0)</f>
        <v>1</v>
      </c>
      <c r="M228" s="0" t="n">
        <f aca="false">MAX(0,$J228-$K228)</f>
        <v>0</v>
      </c>
    </row>
    <row r="229" customFormat="false" ht="15" hidden="false" customHeight="false" outlineLevel="0" collapsed="false">
      <c r="A229" s="0" t="s">
        <v>103</v>
      </c>
      <c r="B229" s="0" t="s">
        <v>104</v>
      </c>
      <c r="C229" s="0" t="s">
        <v>219</v>
      </c>
      <c r="D229" s="0" t="n">
        <v>0.5</v>
      </c>
      <c r="E229" s="0" t="s">
        <v>218</v>
      </c>
      <c r="F229" s="0" t="n">
        <v>4</v>
      </c>
      <c r="G229" s="0" t="n">
        <f aca="false">$D229/$F229</f>
        <v>0.125</v>
      </c>
      <c r="H229" s="0" t="n">
        <f aca="false">SUMIFS(Home!$E$28:$E$39,Home!$B$28:$B$39,$B229)</f>
        <v>0</v>
      </c>
      <c r="I229" s="0" t="n">
        <f aca="false">$G229*$H229</f>
        <v>0</v>
      </c>
      <c r="J229" s="0" t="n">
        <f aca="false">$G229*Home!$D$5</f>
        <v>0.5</v>
      </c>
      <c r="K229" s="0" t="n">
        <f aca="false">INDEX(Pantry!$I$7:$I$68,MATCH($C229,Pantry!$A$7:$A$68,0))</f>
        <v>2</v>
      </c>
      <c r="L229" s="0" t="n">
        <f aca="false">IF($K229&gt;=$J229-0.0001,1,0)</f>
        <v>1</v>
      </c>
      <c r="M229" s="0" t="n">
        <f aca="false">MAX(0,$J229-$K229)</f>
        <v>0</v>
      </c>
    </row>
    <row r="230" customFormat="false" ht="15" hidden="false" customHeight="false" outlineLevel="0" collapsed="false">
      <c r="A230" s="0" t="s">
        <v>107</v>
      </c>
      <c r="B230" s="0" t="s">
        <v>108</v>
      </c>
      <c r="C230" s="0" t="s">
        <v>249</v>
      </c>
      <c r="D230" s="0" t="n">
        <v>0.75</v>
      </c>
      <c r="E230" s="0" t="s">
        <v>206</v>
      </c>
      <c r="F230" s="0" t="n">
        <v>5</v>
      </c>
      <c r="G230" s="0" t="n">
        <f aca="false">$D230/$F230</f>
        <v>0.15</v>
      </c>
      <c r="H230" s="0" t="n">
        <f aca="false">SUMIFS(Home!$E$28:$E$39,Home!$B$28:$B$39,$B230)</f>
        <v>0</v>
      </c>
      <c r="I230" s="0" t="n">
        <f aca="false">$G230*$H230</f>
        <v>0</v>
      </c>
      <c r="J230" s="0" t="n">
        <f aca="false">$G230*Home!$D$5</f>
        <v>0.6</v>
      </c>
      <c r="K230" s="0" t="n">
        <f aca="false">INDEX(Pantry!$I$7:$I$68,MATCH($C230,Pantry!$A$7:$A$68,0))</f>
        <v>1</v>
      </c>
      <c r="L230" s="0" t="n">
        <f aca="false">IF($K230&gt;=$J230-0.0001,1,0)</f>
        <v>1</v>
      </c>
      <c r="M230" s="0" t="n">
        <f aca="false">MAX(0,$J230-$K230)</f>
        <v>0</v>
      </c>
    </row>
    <row r="231" customFormat="false" ht="15" hidden="false" customHeight="false" outlineLevel="0" collapsed="false">
      <c r="A231" s="0" t="s">
        <v>107</v>
      </c>
      <c r="B231" s="0" t="s">
        <v>108</v>
      </c>
      <c r="C231" s="0" t="s">
        <v>247</v>
      </c>
      <c r="D231" s="0" t="n">
        <v>3</v>
      </c>
      <c r="E231" s="0" t="s">
        <v>209</v>
      </c>
      <c r="F231" s="0" t="n">
        <v>5</v>
      </c>
      <c r="G231" s="0" t="n">
        <f aca="false">$D231/$F231</f>
        <v>0.6</v>
      </c>
      <c r="H231" s="0" t="n">
        <f aca="false">SUMIFS(Home!$E$28:$E$39,Home!$B$28:$B$39,$B231)</f>
        <v>0</v>
      </c>
      <c r="I231" s="0" t="n">
        <f aca="false">$G231*$H231</f>
        <v>0</v>
      </c>
      <c r="J231" s="0" t="n">
        <f aca="false">$G231*Home!$D$5</f>
        <v>2.4</v>
      </c>
      <c r="K231" s="0" t="n">
        <f aca="false">INDEX(Pantry!$I$7:$I$68,MATCH($C231,Pantry!$A$7:$A$68,0))</f>
        <v>5</v>
      </c>
      <c r="L231" s="0" t="n">
        <f aca="false">IF($K231&gt;=$J231-0.0001,1,0)</f>
        <v>1</v>
      </c>
      <c r="M231" s="0" t="n">
        <f aca="false">MAX(0,$J231-$K231)</f>
        <v>0</v>
      </c>
    </row>
    <row r="232" customFormat="false" ht="15" hidden="false" customHeight="false" outlineLevel="0" collapsed="false">
      <c r="A232" s="0" t="s">
        <v>107</v>
      </c>
      <c r="B232" s="0" t="s">
        <v>108</v>
      </c>
      <c r="C232" s="0" t="s">
        <v>208</v>
      </c>
      <c r="D232" s="0" t="n">
        <v>2</v>
      </c>
      <c r="E232" s="0" t="s">
        <v>209</v>
      </c>
      <c r="F232" s="0" t="n">
        <v>5</v>
      </c>
      <c r="G232" s="0" t="n">
        <f aca="false">$D232/$F232</f>
        <v>0.4</v>
      </c>
      <c r="H232" s="0" t="n">
        <f aca="false">SUMIFS(Home!$E$28:$E$39,Home!$B$28:$B$39,$B232)</f>
        <v>0</v>
      </c>
      <c r="I232" s="0" t="n">
        <f aca="false">$G232*$H232</f>
        <v>0</v>
      </c>
      <c r="J232" s="0" t="n">
        <f aca="false">$G232*Home!$D$5</f>
        <v>1.6</v>
      </c>
      <c r="K232" s="0" t="n">
        <f aca="false">INDEX(Pantry!$I$7:$I$68,MATCH($C232,Pantry!$A$7:$A$68,0))</f>
        <v>6</v>
      </c>
      <c r="L232" s="0" t="n">
        <f aca="false">IF($K232&gt;=$J232-0.0001,1,0)</f>
        <v>1</v>
      </c>
      <c r="M232" s="0" t="n">
        <f aca="false">MAX(0,$J232-$K232)</f>
        <v>0</v>
      </c>
    </row>
    <row r="233" customFormat="false" ht="15" hidden="false" customHeight="false" outlineLevel="0" collapsed="false">
      <c r="A233" s="0" t="s">
        <v>107</v>
      </c>
      <c r="B233" s="0" t="s">
        <v>108</v>
      </c>
      <c r="C233" s="0" t="s">
        <v>210</v>
      </c>
      <c r="D233" s="0" t="n">
        <v>3</v>
      </c>
      <c r="E233" s="0" t="s">
        <v>209</v>
      </c>
      <c r="F233" s="0" t="n">
        <v>5</v>
      </c>
      <c r="G233" s="0" t="n">
        <f aca="false">$D233/$F233</f>
        <v>0.6</v>
      </c>
      <c r="H233" s="0" t="n">
        <f aca="false">SUMIFS(Home!$E$28:$E$39,Home!$B$28:$B$39,$B233)</f>
        <v>0</v>
      </c>
      <c r="I233" s="0" t="n">
        <f aca="false">$G233*$H233</f>
        <v>0</v>
      </c>
      <c r="J233" s="0" t="n">
        <f aca="false">$G233*Home!$D$5</f>
        <v>2.4</v>
      </c>
      <c r="K233" s="0" t="n">
        <f aca="false">INDEX(Pantry!$I$7:$I$68,MATCH($C233,Pantry!$A$7:$A$68,0))</f>
        <v>4</v>
      </c>
      <c r="L233" s="0" t="n">
        <f aca="false">IF($K233&gt;=$J233-0.0001,1,0)</f>
        <v>1</v>
      </c>
      <c r="M233" s="0" t="n">
        <f aca="false">MAX(0,$J233-$K233)</f>
        <v>0</v>
      </c>
    </row>
    <row r="234" customFormat="false" ht="15" hidden="false" customHeight="false" outlineLevel="0" collapsed="false">
      <c r="A234" s="0" t="s">
        <v>107</v>
      </c>
      <c r="B234" s="0" t="s">
        <v>108</v>
      </c>
      <c r="C234" s="0" t="s">
        <v>211</v>
      </c>
      <c r="D234" s="0" t="n">
        <v>0.5</v>
      </c>
      <c r="E234" s="0" t="s">
        <v>212</v>
      </c>
      <c r="F234" s="0" t="n">
        <v>5</v>
      </c>
      <c r="G234" s="0" t="n">
        <f aca="false">$D234/$F234</f>
        <v>0.1</v>
      </c>
      <c r="H234" s="0" t="n">
        <f aca="false">SUMIFS(Home!$E$28:$E$39,Home!$B$28:$B$39,$B234)</f>
        <v>0</v>
      </c>
      <c r="I234" s="0" t="n">
        <f aca="false">$G234*$H234</f>
        <v>0</v>
      </c>
      <c r="J234" s="0" t="n">
        <f aca="false">$G234*Home!$D$5</f>
        <v>0.4</v>
      </c>
      <c r="K234" s="0" t="n">
        <f aca="false">INDEX(Pantry!$I$7:$I$68,MATCH($C234,Pantry!$A$7:$A$68,0))</f>
        <v>2</v>
      </c>
      <c r="L234" s="0" t="n">
        <f aca="false">IF($K234&gt;=$J234-0.0001,1,0)</f>
        <v>1</v>
      </c>
      <c r="M234" s="0" t="n">
        <f aca="false">MAX(0,$J234-$K234)</f>
        <v>0</v>
      </c>
    </row>
    <row r="235" customFormat="false" ht="15" hidden="false" customHeight="false" outlineLevel="0" collapsed="false">
      <c r="A235" s="0" t="s">
        <v>107</v>
      </c>
      <c r="B235" s="0" t="s">
        <v>108</v>
      </c>
      <c r="C235" s="0" t="s">
        <v>213</v>
      </c>
      <c r="D235" s="0" t="n">
        <v>2</v>
      </c>
      <c r="E235" s="0" t="s">
        <v>214</v>
      </c>
      <c r="F235" s="0" t="n">
        <v>5</v>
      </c>
      <c r="G235" s="0" t="n">
        <f aca="false">$D235/$F235</f>
        <v>0.4</v>
      </c>
      <c r="H235" s="0" t="n">
        <f aca="false">SUMIFS(Home!$E$28:$E$39,Home!$B$28:$B$39,$B235)</f>
        <v>0</v>
      </c>
      <c r="I235" s="0" t="n">
        <f aca="false">$G235*$H235</f>
        <v>0</v>
      </c>
      <c r="J235" s="0" t="n">
        <f aca="false">$G235*Home!$D$5</f>
        <v>1.6</v>
      </c>
      <c r="K235" s="0" t="n">
        <f aca="false">INDEX(Pantry!$I$7:$I$68,MATCH($C235,Pantry!$A$7:$A$68,0))</f>
        <v>1</v>
      </c>
      <c r="L235" s="0" t="n">
        <f aca="false">IF($K235&gt;=$J235-0.0001,1,0)</f>
        <v>0</v>
      </c>
      <c r="M235" s="0" t="n">
        <f aca="false">MAX(0,$J235-$K235)</f>
        <v>0.6</v>
      </c>
    </row>
    <row r="236" customFormat="false" ht="15" hidden="false" customHeight="false" outlineLevel="0" collapsed="false">
      <c r="A236" s="0" t="s">
        <v>107</v>
      </c>
      <c r="B236" s="0" t="s">
        <v>108</v>
      </c>
      <c r="C236" s="0" t="s">
        <v>226</v>
      </c>
      <c r="D236" s="0" t="n">
        <v>1</v>
      </c>
      <c r="E236" s="0" t="s">
        <v>214</v>
      </c>
      <c r="F236" s="0" t="n">
        <v>5</v>
      </c>
      <c r="G236" s="0" t="n">
        <f aca="false">$D236/$F236</f>
        <v>0.2</v>
      </c>
      <c r="H236" s="0" t="n">
        <f aca="false">SUMIFS(Home!$E$28:$E$39,Home!$B$28:$B$39,$B236)</f>
        <v>0</v>
      </c>
      <c r="I236" s="0" t="n">
        <f aca="false">$G236*$H236</f>
        <v>0</v>
      </c>
      <c r="J236" s="0" t="n">
        <f aca="false">$G236*Home!$D$5</f>
        <v>0.8</v>
      </c>
      <c r="K236" s="0" t="n">
        <f aca="false">INDEX(Pantry!$I$7:$I$68,MATCH($C236,Pantry!$A$7:$A$68,0))</f>
        <v>4</v>
      </c>
      <c r="L236" s="0" t="n">
        <f aca="false">IF($K236&gt;=$J236-0.0001,1,0)</f>
        <v>1</v>
      </c>
      <c r="M236" s="0" t="n">
        <f aca="false">MAX(0,$J236-$K236)</f>
        <v>0</v>
      </c>
    </row>
    <row r="237" customFormat="false" ht="15" hidden="false" customHeight="false" outlineLevel="0" collapsed="false">
      <c r="A237" s="0" t="s">
        <v>107</v>
      </c>
      <c r="B237" s="0" t="s">
        <v>108</v>
      </c>
      <c r="C237" s="0" t="s">
        <v>232</v>
      </c>
      <c r="D237" s="0" t="n">
        <v>2</v>
      </c>
      <c r="E237" s="0" t="s">
        <v>223</v>
      </c>
      <c r="F237" s="0" t="n">
        <v>5</v>
      </c>
      <c r="G237" s="0" t="n">
        <f aca="false">$D237/$F237</f>
        <v>0.4</v>
      </c>
      <c r="H237" s="0" t="n">
        <f aca="false">SUMIFS(Home!$E$28:$E$39,Home!$B$28:$B$39,$B237)</f>
        <v>0</v>
      </c>
      <c r="I237" s="0" t="n">
        <f aca="false">$G237*$H237</f>
        <v>0</v>
      </c>
      <c r="J237" s="0" t="n">
        <f aca="false">$G237*Home!$D$5</f>
        <v>1.6</v>
      </c>
      <c r="K237" s="0" t="n">
        <f aca="false">INDEX(Pantry!$I$7:$I$68,MATCH($C237,Pantry!$A$7:$A$68,0))</f>
        <v>20</v>
      </c>
      <c r="L237" s="0" t="n">
        <f aca="false">IF($K237&gt;=$J237-0.0001,1,0)</f>
        <v>1</v>
      </c>
      <c r="M237" s="0" t="n">
        <f aca="false">MAX(0,$J237-$K237)</f>
        <v>0</v>
      </c>
    </row>
    <row r="238" customFormat="false" ht="15" hidden="false" customHeight="false" outlineLevel="0" collapsed="false">
      <c r="A238" s="0" t="s">
        <v>107</v>
      </c>
      <c r="B238" s="0" t="s">
        <v>108</v>
      </c>
      <c r="C238" s="0" t="s">
        <v>248</v>
      </c>
      <c r="D238" s="0" t="n">
        <v>1</v>
      </c>
      <c r="E238" s="0" t="s">
        <v>223</v>
      </c>
      <c r="F238" s="0" t="n">
        <v>5</v>
      </c>
      <c r="G238" s="0" t="n">
        <f aca="false">$D238/$F238</f>
        <v>0.2</v>
      </c>
      <c r="H238" s="0" t="n">
        <f aca="false">SUMIFS(Home!$E$28:$E$39,Home!$B$28:$B$39,$B238)</f>
        <v>0</v>
      </c>
      <c r="I238" s="0" t="n">
        <f aca="false">$G238*$H238</f>
        <v>0</v>
      </c>
      <c r="J238" s="0" t="n">
        <f aca="false">$G238*Home!$D$5</f>
        <v>0.8</v>
      </c>
      <c r="K238" s="0" t="n">
        <f aca="false">INDEX(Pantry!$I$7:$I$68,MATCH($C238,Pantry!$A$7:$A$68,0))</f>
        <v>0</v>
      </c>
      <c r="L238" s="0" t="n">
        <f aca="false">IF($K238&gt;=$J238-0.0001,1,0)</f>
        <v>0</v>
      </c>
      <c r="M238" s="0" t="n">
        <f aca="false">MAX(0,$J238-$K238)</f>
        <v>0.8</v>
      </c>
    </row>
    <row r="239" customFormat="false" ht="15" hidden="false" customHeight="false" outlineLevel="0" collapsed="false">
      <c r="A239" s="0" t="s">
        <v>107</v>
      </c>
      <c r="B239" s="0" t="s">
        <v>108</v>
      </c>
      <c r="C239" s="0" t="s">
        <v>233</v>
      </c>
      <c r="D239" s="0" t="n">
        <v>0.75</v>
      </c>
      <c r="E239" s="0" t="s">
        <v>223</v>
      </c>
      <c r="F239" s="0" t="n">
        <v>5</v>
      </c>
      <c r="G239" s="0" t="n">
        <f aca="false">$D239/$F239</f>
        <v>0.15</v>
      </c>
      <c r="H239" s="0" t="n">
        <f aca="false">SUMIFS(Home!$E$28:$E$39,Home!$B$28:$B$39,$B239)</f>
        <v>0</v>
      </c>
      <c r="I239" s="0" t="n">
        <f aca="false">$G239*$H239</f>
        <v>0</v>
      </c>
      <c r="J239" s="0" t="n">
        <f aca="false">$G239*Home!$D$5</f>
        <v>0.6</v>
      </c>
      <c r="K239" s="0" t="n">
        <f aca="false">INDEX(Pantry!$I$7:$I$68,MATCH($C239,Pantry!$A$7:$A$68,0))</f>
        <v>15</v>
      </c>
      <c r="L239" s="0" t="n">
        <f aca="false">IF($K239&gt;=$J239-0.0001,1,0)</f>
        <v>1</v>
      </c>
      <c r="M239" s="0" t="n">
        <f aca="false">MAX(0,$J239-$K239)</f>
        <v>0</v>
      </c>
    </row>
    <row r="240" customFormat="false" ht="15" hidden="false" customHeight="false" outlineLevel="0" collapsed="false">
      <c r="A240" s="0" t="s">
        <v>107</v>
      </c>
      <c r="B240" s="0" t="s">
        <v>108</v>
      </c>
      <c r="C240" s="0" t="s">
        <v>234</v>
      </c>
      <c r="D240" s="0" t="n">
        <v>2</v>
      </c>
      <c r="E240" s="0" t="s">
        <v>223</v>
      </c>
      <c r="F240" s="0" t="n">
        <v>5</v>
      </c>
      <c r="G240" s="0" t="n">
        <f aca="false">$D240/$F240</f>
        <v>0.4</v>
      </c>
      <c r="H240" s="0" t="n">
        <f aca="false">SUMIFS(Home!$E$28:$E$39,Home!$B$28:$B$39,$B240)</f>
        <v>0</v>
      </c>
      <c r="I240" s="0" t="n">
        <f aca="false">$G240*$H240</f>
        <v>0</v>
      </c>
      <c r="J240" s="0" t="n">
        <f aca="false">$G240*Home!$D$5</f>
        <v>1.6</v>
      </c>
      <c r="K240" s="0" t="n">
        <f aca="false">INDEX(Pantry!$I$7:$I$68,MATCH($C240,Pantry!$A$7:$A$68,0))</f>
        <v>12</v>
      </c>
      <c r="L240" s="0" t="n">
        <f aca="false">IF($K240&gt;=$J240-0.0001,1,0)</f>
        <v>1</v>
      </c>
      <c r="M240" s="0" t="n">
        <f aca="false">MAX(0,$J240-$K240)</f>
        <v>0</v>
      </c>
    </row>
    <row r="241" customFormat="false" ht="15" hidden="false" customHeight="false" outlineLevel="0" collapsed="false">
      <c r="A241" s="0" t="s">
        <v>107</v>
      </c>
      <c r="B241" s="0" t="s">
        <v>108</v>
      </c>
      <c r="C241" s="0" t="s">
        <v>266</v>
      </c>
      <c r="D241" s="0" t="n">
        <v>1</v>
      </c>
      <c r="E241" s="0" t="s">
        <v>223</v>
      </c>
      <c r="F241" s="0" t="n">
        <v>5</v>
      </c>
      <c r="G241" s="0" t="n">
        <f aca="false">$D241/$F241</f>
        <v>0.2</v>
      </c>
      <c r="H241" s="0" t="n">
        <f aca="false">SUMIFS(Home!$E$28:$E$39,Home!$B$28:$B$39,$B241)</f>
        <v>0</v>
      </c>
      <c r="I241" s="0" t="n">
        <f aca="false">$G241*$H241</f>
        <v>0</v>
      </c>
      <c r="J241" s="0" t="n">
        <f aca="false">$G241*Home!$D$5</f>
        <v>0.8</v>
      </c>
      <c r="K241" s="0" t="n">
        <f aca="false">INDEX(Pantry!$I$7:$I$68,MATCH($C241,Pantry!$A$7:$A$68,0))</f>
        <v>2</v>
      </c>
      <c r="L241" s="0" t="n">
        <f aca="false">IF($K241&gt;=$J241-0.0001,1,0)</f>
        <v>1</v>
      </c>
      <c r="M241" s="0" t="n">
        <f aca="false">MAX(0,$J241-$K241)</f>
        <v>0</v>
      </c>
    </row>
    <row r="242" customFormat="false" ht="15" hidden="false" customHeight="false" outlineLevel="0" collapsed="false">
      <c r="A242" s="0" t="s">
        <v>107</v>
      </c>
      <c r="B242" s="0" t="s">
        <v>108</v>
      </c>
      <c r="C242" s="0" t="s">
        <v>267</v>
      </c>
      <c r="D242" s="0" t="n">
        <v>1</v>
      </c>
      <c r="E242" s="0" t="s">
        <v>209</v>
      </c>
      <c r="F242" s="0" t="n">
        <v>5</v>
      </c>
      <c r="G242" s="0" t="n">
        <f aca="false">$D242/$F242</f>
        <v>0.2</v>
      </c>
      <c r="H242" s="0" t="n">
        <f aca="false">SUMIFS(Home!$E$28:$E$39,Home!$B$28:$B$39,$B242)</f>
        <v>0</v>
      </c>
      <c r="I242" s="0" t="n">
        <f aca="false">$G242*$H242</f>
        <v>0</v>
      </c>
      <c r="J242" s="0" t="n">
        <f aca="false">$G242*Home!$D$5</f>
        <v>0.8</v>
      </c>
      <c r="K242" s="0" t="n">
        <f aca="false">INDEX(Pantry!$I$7:$I$68,MATCH($C242,Pantry!$A$7:$A$68,0))</f>
        <v>2</v>
      </c>
      <c r="L242" s="0" t="n">
        <f aca="false">IF($K242&gt;=$J242-0.0001,1,0)</f>
        <v>1</v>
      </c>
      <c r="M242" s="0" t="n">
        <f aca="false">MAX(0,$J242-$K242)</f>
        <v>0</v>
      </c>
    </row>
    <row r="243" customFormat="false" ht="15" hidden="false" customHeight="false" outlineLevel="0" collapsed="false">
      <c r="A243" s="0" t="s">
        <v>107</v>
      </c>
      <c r="B243" s="0" t="s">
        <v>108</v>
      </c>
      <c r="C243" s="0" t="s">
        <v>216</v>
      </c>
      <c r="D243" s="0" t="n">
        <v>0.75</v>
      </c>
      <c r="E243" s="0" t="s">
        <v>212</v>
      </c>
      <c r="F243" s="0" t="n">
        <v>5</v>
      </c>
      <c r="G243" s="0" t="n">
        <f aca="false">$D243/$F243</f>
        <v>0.15</v>
      </c>
      <c r="H243" s="0" t="n">
        <f aca="false">SUMIFS(Home!$E$28:$E$39,Home!$B$28:$B$39,$B243)</f>
        <v>0</v>
      </c>
      <c r="I243" s="0" t="n">
        <f aca="false">$G243*$H243</f>
        <v>0</v>
      </c>
      <c r="J243" s="0" t="n">
        <f aca="false">$G243*Home!$D$5</f>
        <v>0.6</v>
      </c>
      <c r="K243" s="0" t="n">
        <f aca="false">INDEX(Pantry!$I$7:$I$68,MATCH($C243,Pantry!$A$7:$A$68,0))</f>
        <v>5</v>
      </c>
      <c r="L243" s="0" t="n">
        <f aca="false">IF($K243&gt;=$J243-0.0001,1,0)</f>
        <v>1</v>
      </c>
      <c r="M243" s="0" t="n">
        <f aca="false">MAX(0,$J243-$K243)</f>
        <v>0</v>
      </c>
    </row>
    <row r="244" customFormat="false" ht="15" hidden="false" customHeight="false" outlineLevel="0" collapsed="false">
      <c r="A244" s="0" t="s">
        <v>107</v>
      </c>
      <c r="B244" s="0" t="s">
        <v>108</v>
      </c>
      <c r="C244" s="0" t="s">
        <v>222</v>
      </c>
      <c r="D244" s="0" t="n">
        <v>1.5</v>
      </c>
      <c r="E244" s="0" t="s">
        <v>223</v>
      </c>
      <c r="F244" s="0" t="n">
        <v>5</v>
      </c>
      <c r="G244" s="0" t="n">
        <f aca="false">$D244/$F244</f>
        <v>0.3</v>
      </c>
      <c r="H244" s="0" t="n">
        <f aca="false">SUMIFS(Home!$E$28:$E$39,Home!$B$28:$B$39,$B244)</f>
        <v>0</v>
      </c>
      <c r="I244" s="0" t="n">
        <f aca="false">$G244*$H244</f>
        <v>0</v>
      </c>
      <c r="J244" s="0" t="n">
        <f aca="false">$G244*Home!$D$5</f>
        <v>1.2</v>
      </c>
      <c r="K244" s="0" t="n">
        <f aca="false">INDEX(Pantry!$I$7:$I$68,MATCH($C244,Pantry!$A$7:$A$68,0))</f>
        <v>50</v>
      </c>
      <c r="L244" s="0" t="n">
        <f aca="false">IF($K244&gt;=$J244-0.0001,1,0)</f>
        <v>1</v>
      </c>
      <c r="M244" s="0" t="n">
        <f aca="false">MAX(0,$J244-$K244)</f>
        <v>0</v>
      </c>
    </row>
    <row r="245" customFormat="false" ht="15" hidden="false" customHeight="false" outlineLevel="0" collapsed="false">
      <c r="A245" s="0" t="s">
        <v>111</v>
      </c>
      <c r="B245" s="0" t="s">
        <v>112</v>
      </c>
      <c r="C245" s="0" t="s">
        <v>268</v>
      </c>
      <c r="D245" s="0" t="n">
        <v>1.5</v>
      </c>
      <c r="E245" s="0" t="s">
        <v>206</v>
      </c>
      <c r="F245" s="0" t="n">
        <v>6</v>
      </c>
      <c r="G245" s="0" t="n">
        <f aca="false">$D245/$F245</f>
        <v>0.25</v>
      </c>
      <c r="H245" s="0" t="n">
        <f aca="false">SUMIFS(Home!$E$28:$E$39,Home!$B$28:$B$39,$B245)</f>
        <v>0</v>
      </c>
      <c r="I245" s="0" t="n">
        <f aca="false">$G245*$H245</f>
        <v>0</v>
      </c>
      <c r="J245" s="0" t="n">
        <f aca="false">$G245*Home!$D$5</f>
        <v>1</v>
      </c>
      <c r="K245" s="0" t="n">
        <f aca="false">INDEX(Pantry!$I$7:$I$68,MATCH($C245,Pantry!$A$7:$A$68,0))</f>
        <v>0</v>
      </c>
      <c r="L245" s="0" t="n">
        <f aca="false">IF($K245&gt;=$J245-0.0001,1,0)</f>
        <v>0</v>
      </c>
      <c r="M245" s="0" t="n">
        <f aca="false">MAX(0,$J245-$K245)</f>
        <v>1</v>
      </c>
    </row>
    <row r="246" customFormat="false" ht="15" hidden="false" customHeight="false" outlineLevel="0" collapsed="false">
      <c r="A246" s="0" t="s">
        <v>111</v>
      </c>
      <c r="B246" s="0" t="s">
        <v>112</v>
      </c>
      <c r="C246" s="0" t="s">
        <v>208</v>
      </c>
      <c r="D246" s="0" t="n">
        <v>2</v>
      </c>
      <c r="E246" s="0" t="s">
        <v>209</v>
      </c>
      <c r="F246" s="0" t="n">
        <v>6</v>
      </c>
      <c r="G246" s="0" t="n">
        <f aca="false">$D246/$F246</f>
        <v>0.333333333333333</v>
      </c>
      <c r="H246" s="0" t="n">
        <f aca="false">SUMIFS(Home!$E$28:$E$39,Home!$B$28:$B$39,$B246)</f>
        <v>0</v>
      </c>
      <c r="I246" s="0" t="n">
        <f aca="false">$G246*$H246</f>
        <v>0</v>
      </c>
      <c r="J246" s="0" t="n">
        <f aca="false">$G246*Home!$D$5</f>
        <v>1.33333333333333</v>
      </c>
      <c r="K246" s="0" t="n">
        <f aca="false">INDEX(Pantry!$I$7:$I$68,MATCH($C246,Pantry!$A$7:$A$68,0))</f>
        <v>6</v>
      </c>
      <c r="L246" s="0" t="n">
        <f aca="false">IF($K246&gt;=$J246-0.0001,1,0)</f>
        <v>1</v>
      </c>
      <c r="M246" s="0" t="n">
        <f aca="false">MAX(0,$J246-$K246)</f>
        <v>0</v>
      </c>
    </row>
    <row r="247" customFormat="false" ht="15" hidden="false" customHeight="false" outlineLevel="0" collapsed="false">
      <c r="A247" s="0" t="s">
        <v>111</v>
      </c>
      <c r="B247" s="0" t="s">
        <v>112</v>
      </c>
      <c r="C247" s="0" t="s">
        <v>213</v>
      </c>
      <c r="D247" s="0" t="n">
        <v>2</v>
      </c>
      <c r="E247" s="0" t="s">
        <v>214</v>
      </c>
      <c r="F247" s="0" t="n">
        <v>6</v>
      </c>
      <c r="G247" s="0" t="n">
        <f aca="false">$D247/$F247</f>
        <v>0.333333333333333</v>
      </c>
      <c r="H247" s="0" t="n">
        <f aca="false">SUMIFS(Home!$E$28:$E$39,Home!$B$28:$B$39,$B247)</f>
        <v>0</v>
      </c>
      <c r="I247" s="0" t="n">
        <f aca="false">$G247*$H247</f>
        <v>0</v>
      </c>
      <c r="J247" s="0" t="n">
        <f aca="false">$G247*Home!$D$5</f>
        <v>1.33333333333333</v>
      </c>
      <c r="K247" s="0" t="n">
        <f aca="false">INDEX(Pantry!$I$7:$I$68,MATCH($C247,Pantry!$A$7:$A$68,0))</f>
        <v>1</v>
      </c>
      <c r="L247" s="0" t="n">
        <f aca="false">IF($K247&gt;=$J247-0.0001,1,0)</f>
        <v>0</v>
      </c>
      <c r="M247" s="0" t="n">
        <f aca="false">MAX(0,$J247-$K247)</f>
        <v>0.333333333333333</v>
      </c>
    </row>
    <row r="248" customFormat="false" ht="15" hidden="false" customHeight="false" outlineLevel="0" collapsed="false">
      <c r="A248" s="0" t="s">
        <v>111</v>
      </c>
      <c r="B248" s="0" t="s">
        <v>112</v>
      </c>
      <c r="C248" s="0" t="s">
        <v>269</v>
      </c>
      <c r="D248" s="0" t="n">
        <v>4</v>
      </c>
      <c r="E248" s="0" t="s">
        <v>214</v>
      </c>
      <c r="F248" s="0" t="n">
        <v>6</v>
      </c>
      <c r="G248" s="0" t="n">
        <f aca="false">$D248/$F248</f>
        <v>0.666666666666667</v>
      </c>
      <c r="H248" s="0" t="n">
        <f aca="false">SUMIFS(Home!$E$28:$E$39,Home!$B$28:$B$39,$B248)</f>
        <v>0</v>
      </c>
      <c r="I248" s="0" t="n">
        <f aca="false">$G248*$H248</f>
        <v>0</v>
      </c>
      <c r="J248" s="0" t="n">
        <f aca="false">$G248*Home!$D$5</f>
        <v>2.66666666666667</v>
      </c>
      <c r="K248" s="0" t="n">
        <f aca="false">INDEX(Pantry!$I$7:$I$68,MATCH($C248,Pantry!$A$7:$A$68,0))</f>
        <v>0</v>
      </c>
      <c r="L248" s="0" t="n">
        <f aca="false">IF($K248&gt;=$J248-0.0001,1,0)</f>
        <v>0</v>
      </c>
      <c r="M248" s="0" t="n">
        <f aca="false">MAX(0,$J248-$K248)</f>
        <v>2.66666666666667</v>
      </c>
    </row>
    <row r="249" customFormat="false" ht="15" hidden="false" customHeight="false" outlineLevel="0" collapsed="false">
      <c r="A249" s="0" t="s">
        <v>111</v>
      </c>
      <c r="B249" s="0" t="s">
        <v>112</v>
      </c>
      <c r="C249" s="0" t="s">
        <v>270</v>
      </c>
      <c r="D249" s="0" t="n">
        <v>6</v>
      </c>
      <c r="E249" s="0" t="s">
        <v>214</v>
      </c>
      <c r="F249" s="0" t="n">
        <v>6</v>
      </c>
      <c r="G249" s="0" t="n">
        <f aca="false">$D249/$F249</f>
        <v>1</v>
      </c>
      <c r="H249" s="0" t="n">
        <f aca="false">SUMIFS(Home!$E$28:$E$39,Home!$B$28:$B$39,$B249)</f>
        <v>0</v>
      </c>
      <c r="I249" s="0" t="n">
        <f aca="false">$G249*$H249</f>
        <v>0</v>
      </c>
      <c r="J249" s="0" t="n">
        <f aca="false">$G249*Home!$D$5</f>
        <v>4</v>
      </c>
      <c r="K249" s="0" t="n">
        <f aca="false">INDEX(Pantry!$I$7:$I$68,MATCH($C249,Pantry!$A$7:$A$68,0))</f>
        <v>20</v>
      </c>
      <c r="L249" s="0" t="n">
        <f aca="false">IF($K249&gt;=$J249-0.0001,1,0)</f>
        <v>1</v>
      </c>
      <c r="M249" s="0" t="n">
        <f aca="false">MAX(0,$J249-$K249)</f>
        <v>0</v>
      </c>
    </row>
    <row r="250" customFormat="false" ht="15" hidden="false" customHeight="false" outlineLevel="0" collapsed="false">
      <c r="A250" s="0" t="s">
        <v>111</v>
      </c>
      <c r="B250" s="0" t="s">
        <v>112</v>
      </c>
      <c r="C250" s="0" t="s">
        <v>271</v>
      </c>
      <c r="D250" s="0" t="n">
        <v>2</v>
      </c>
      <c r="E250" s="0" t="s">
        <v>214</v>
      </c>
      <c r="F250" s="0" t="n">
        <v>6</v>
      </c>
      <c r="G250" s="0" t="n">
        <f aca="false">$D250/$F250</f>
        <v>0.333333333333333</v>
      </c>
      <c r="H250" s="0" t="n">
        <f aca="false">SUMIFS(Home!$E$28:$E$39,Home!$B$28:$B$39,$B250)</f>
        <v>0</v>
      </c>
      <c r="I250" s="0" t="n">
        <f aca="false">$G250*$H250</f>
        <v>0</v>
      </c>
      <c r="J250" s="0" t="n">
        <f aca="false">$G250*Home!$D$5</f>
        <v>1.33333333333333</v>
      </c>
      <c r="K250" s="0" t="n">
        <f aca="false">INDEX(Pantry!$I$7:$I$68,MATCH($C250,Pantry!$A$7:$A$68,0))</f>
        <v>6</v>
      </c>
      <c r="L250" s="0" t="n">
        <f aca="false">IF($K250&gt;=$J250-0.0001,1,0)</f>
        <v>1</v>
      </c>
      <c r="M250" s="0" t="n">
        <f aca="false">MAX(0,$J250-$K250)</f>
        <v>0</v>
      </c>
    </row>
    <row r="251" customFormat="false" ht="15" hidden="false" customHeight="false" outlineLevel="0" collapsed="false">
      <c r="A251" s="0" t="s">
        <v>111</v>
      </c>
      <c r="B251" s="0" t="s">
        <v>112</v>
      </c>
      <c r="C251" s="0" t="s">
        <v>240</v>
      </c>
      <c r="D251" s="0" t="n">
        <v>8</v>
      </c>
      <c r="E251" s="0" t="s">
        <v>214</v>
      </c>
      <c r="F251" s="0" t="n">
        <v>6</v>
      </c>
      <c r="G251" s="0" t="n">
        <f aca="false">$D251/$F251</f>
        <v>1.33333333333333</v>
      </c>
      <c r="H251" s="0" t="n">
        <f aca="false">SUMIFS(Home!$E$28:$E$39,Home!$B$28:$B$39,$B251)</f>
        <v>0</v>
      </c>
      <c r="I251" s="0" t="n">
        <f aca="false">$G251*$H251</f>
        <v>0</v>
      </c>
      <c r="J251" s="0" t="n">
        <f aca="false">$G251*Home!$D$5</f>
        <v>5.33333333333333</v>
      </c>
      <c r="K251" s="0" t="n">
        <f aca="false">INDEX(Pantry!$I$7:$I$68,MATCH($C251,Pantry!$A$7:$A$68,0))</f>
        <v>10</v>
      </c>
      <c r="L251" s="0" t="n">
        <f aca="false">IF($K251&gt;=$J251-0.0001,1,0)</f>
        <v>1</v>
      </c>
      <c r="M251" s="0" t="n">
        <f aca="false">MAX(0,$J251-$K251)</f>
        <v>0</v>
      </c>
    </row>
    <row r="252" customFormat="false" ht="15" hidden="false" customHeight="false" outlineLevel="0" collapsed="false">
      <c r="A252" s="0" t="s">
        <v>111</v>
      </c>
      <c r="B252" s="0" t="s">
        <v>112</v>
      </c>
      <c r="C252" s="0" t="s">
        <v>222</v>
      </c>
      <c r="D252" s="0" t="n">
        <v>2</v>
      </c>
      <c r="E252" s="0" t="s">
        <v>223</v>
      </c>
      <c r="F252" s="0" t="n">
        <v>6</v>
      </c>
      <c r="G252" s="0" t="n">
        <f aca="false">$D252/$F252</f>
        <v>0.333333333333333</v>
      </c>
      <c r="H252" s="0" t="n">
        <f aca="false">SUMIFS(Home!$E$28:$E$39,Home!$B$28:$B$39,$B252)</f>
        <v>0</v>
      </c>
      <c r="I252" s="0" t="n">
        <f aca="false">$G252*$H252</f>
        <v>0</v>
      </c>
      <c r="J252" s="0" t="n">
        <f aca="false">$G252*Home!$D$5</f>
        <v>1.33333333333333</v>
      </c>
      <c r="K252" s="0" t="n">
        <f aca="false">INDEX(Pantry!$I$7:$I$68,MATCH($C252,Pantry!$A$7:$A$68,0))</f>
        <v>50</v>
      </c>
      <c r="L252" s="0" t="n">
        <f aca="false">IF($K252&gt;=$J252-0.0001,1,0)</f>
        <v>1</v>
      </c>
      <c r="M252" s="0" t="n">
        <f aca="false">MAX(0,$J252-$K252)</f>
        <v>0</v>
      </c>
    </row>
    <row r="253" customFormat="false" ht="15" hidden="false" customHeight="false" outlineLevel="0" collapsed="false">
      <c r="A253" s="0" t="s">
        <v>111</v>
      </c>
      <c r="B253" s="0" t="s">
        <v>112</v>
      </c>
      <c r="C253" s="0" t="s">
        <v>236</v>
      </c>
      <c r="D253" s="0" t="n">
        <v>3</v>
      </c>
      <c r="E253" s="0" t="s">
        <v>237</v>
      </c>
      <c r="F253" s="0" t="n">
        <v>6</v>
      </c>
      <c r="G253" s="0" t="n">
        <f aca="false">$D253/$F253</f>
        <v>0.5</v>
      </c>
      <c r="H253" s="0" t="n">
        <f aca="false">SUMIFS(Home!$E$28:$E$39,Home!$B$28:$B$39,$B253)</f>
        <v>0</v>
      </c>
      <c r="I253" s="0" t="n">
        <f aca="false">$G253*$H253</f>
        <v>0</v>
      </c>
      <c r="J253" s="0" t="n">
        <f aca="false">$G253*Home!$D$5</f>
        <v>2</v>
      </c>
      <c r="K253" s="0" t="n">
        <f aca="false">INDEX(Pantry!$I$7:$I$68,MATCH($C253,Pantry!$A$7:$A$68,0))</f>
        <v>3</v>
      </c>
      <c r="L253" s="0" t="n">
        <f aca="false">IF($K253&gt;=$J253-0.0001,1,0)</f>
        <v>1</v>
      </c>
      <c r="M253" s="0" t="n">
        <f aca="false">MAX(0,$J253-$K253)</f>
        <v>0</v>
      </c>
    </row>
    <row r="254" customFormat="false" ht="15" hidden="false" customHeight="false" outlineLevel="0" collapsed="false">
      <c r="A254" s="0" t="s">
        <v>111</v>
      </c>
      <c r="B254" s="0" t="s">
        <v>112</v>
      </c>
      <c r="C254" s="0" t="s">
        <v>220</v>
      </c>
      <c r="D254" s="0" t="n">
        <v>4</v>
      </c>
      <c r="E254" s="0" t="s">
        <v>209</v>
      </c>
      <c r="F254" s="0" t="n">
        <v>6</v>
      </c>
      <c r="G254" s="0" t="n">
        <f aca="false">$D254/$F254</f>
        <v>0.666666666666667</v>
      </c>
      <c r="H254" s="0" t="n">
        <f aca="false">SUMIFS(Home!$E$28:$E$39,Home!$B$28:$B$39,$B254)</f>
        <v>0</v>
      </c>
      <c r="I254" s="0" t="n">
        <f aca="false">$G254*$H254</f>
        <v>0</v>
      </c>
      <c r="J254" s="0" t="n">
        <f aca="false">$G254*Home!$D$5</f>
        <v>2.66666666666667</v>
      </c>
      <c r="K254" s="0" t="n">
        <f aca="false">INDEX(Pantry!$I$7:$I$68,MATCH($C254,Pantry!$A$7:$A$68,0))</f>
        <v>10</v>
      </c>
      <c r="L254" s="0" t="n">
        <f aca="false">IF($K254&gt;=$J254-0.0001,1,0)</f>
        <v>1</v>
      </c>
      <c r="M254" s="0" t="n">
        <f aca="false">MAX(0,$J254-$K254)</f>
        <v>0</v>
      </c>
    </row>
    <row r="255" customFormat="false" ht="15" hidden="false" customHeight="false" outlineLevel="0" collapsed="false">
      <c r="A255" s="0" t="s">
        <v>111</v>
      </c>
      <c r="B255" s="0" t="s">
        <v>112</v>
      </c>
      <c r="C255" s="0" t="s">
        <v>221</v>
      </c>
      <c r="D255" s="0" t="n">
        <v>2</v>
      </c>
      <c r="E255" s="0" t="s">
        <v>209</v>
      </c>
      <c r="F255" s="0" t="n">
        <v>6</v>
      </c>
      <c r="G255" s="0" t="n">
        <f aca="false">$D255/$F255</f>
        <v>0.333333333333333</v>
      </c>
      <c r="H255" s="0" t="n">
        <f aca="false">SUMIFS(Home!$E$28:$E$39,Home!$B$28:$B$39,$B255)</f>
        <v>0</v>
      </c>
      <c r="I255" s="0" t="n">
        <f aca="false">$G255*$H255</f>
        <v>0</v>
      </c>
      <c r="J255" s="0" t="n">
        <f aca="false">$G255*Home!$D$5</f>
        <v>1.33333333333333</v>
      </c>
      <c r="K255" s="0" t="n">
        <f aca="false">INDEX(Pantry!$I$7:$I$68,MATCH($C255,Pantry!$A$7:$A$68,0))</f>
        <v>1</v>
      </c>
      <c r="L255" s="0" t="n">
        <f aca="false">IF($K255&gt;=$J255-0.0001,1,0)</f>
        <v>0</v>
      </c>
      <c r="M255" s="0" t="n">
        <f aca="false">MAX(0,$J255-$K255)</f>
        <v>0.333333333333333</v>
      </c>
    </row>
    <row r="256" customFormat="false" ht="15" hidden="false" customHeight="false" outlineLevel="0" collapsed="false">
      <c r="A256" s="0" t="s">
        <v>111</v>
      </c>
      <c r="B256" s="0" t="s">
        <v>112</v>
      </c>
      <c r="C256" s="0" t="s">
        <v>219</v>
      </c>
      <c r="D256" s="0" t="n">
        <v>0.5</v>
      </c>
      <c r="E256" s="0" t="s">
        <v>218</v>
      </c>
      <c r="F256" s="0" t="n">
        <v>6</v>
      </c>
      <c r="G256" s="0" t="n">
        <f aca="false">$D256/$F256</f>
        <v>0.0833333333333333</v>
      </c>
      <c r="H256" s="0" t="n">
        <f aca="false">SUMIFS(Home!$E$28:$E$39,Home!$B$28:$B$39,$B256)</f>
        <v>0</v>
      </c>
      <c r="I256" s="0" t="n">
        <f aca="false">$G256*$H256</f>
        <v>0</v>
      </c>
      <c r="J256" s="0" t="n">
        <f aca="false">$G256*Home!$D$5</f>
        <v>0.333333333333333</v>
      </c>
      <c r="K256" s="0" t="n">
        <f aca="false">INDEX(Pantry!$I$7:$I$68,MATCH($C256,Pantry!$A$7:$A$68,0))</f>
        <v>2</v>
      </c>
      <c r="L256" s="0" t="n">
        <f aca="false">IF($K256&gt;=$J256-0.0001,1,0)</f>
        <v>1</v>
      </c>
      <c r="M256" s="0" t="n">
        <f aca="false">MAX(0,$J256-$K256)</f>
        <v>0</v>
      </c>
    </row>
    <row r="257" customFormat="false" ht="15" hidden="false" customHeight="false" outlineLevel="0" collapsed="false">
      <c r="A257" s="0" t="s">
        <v>115</v>
      </c>
      <c r="B257" s="0" t="s">
        <v>116</v>
      </c>
      <c r="C257" s="0" t="s">
        <v>207</v>
      </c>
      <c r="D257" s="0" t="n">
        <v>0.5</v>
      </c>
      <c r="E257" s="0" t="s">
        <v>206</v>
      </c>
      <c r="F257" s="0" t="n">
        <v>4</v>
      </c>
      <c r="G257" s="0" t="n">
        <f aca="false">$D257/$F257</f>
        <v>0.125</v>
      </c>
      <c r="H257" s="0" t="n">
        <f aca="false">SUMIFS(Home!$E$28:$E$39,Home!$B$28:$B$39,$B257)</f>
        <v>0</v>
      </c>
      <c r="I257" s="0" t="n">
        <f aca="false">$G257*$H257</f>
        <v>0</v>
      </c>
      <c r="J257" s="0" t="n">
        <f aca="false">$G257*Home!$D$5</f>
        <v>0.5</v>
      </c>
      <c r="K257" s="0" t="n">
        <f aca="false">INDEX(Pantry!$I$7:$I$68,MATCH($C257,Pantry!$A$7:$A$68,0))</f>
        <v>3</v>
      </c>
      <c r="L257" s="0" t="n">
        <f aca="false">IF($K257&gt;=$J257-0.0001,1,0)</f>
        <v>1</v>
      </c>
      <c r="M257" s="0" t="n">
        <f aca="false">MAX(0,$J257-$K257)</f>
        <v>0</v>
      </c>
    </row>
    <row r="258" customFormat="false" ht="15" hidden="false" customHeight="false" outlineLevel="0" collapsed="false">
      <c r="A258" s="0" t="s">
        <v>115</v>
      </c>
      <c r="B258" s="0" t="s">
        <v>116</v>
      </c>
      <c r="C258" s="0" t="s">
        <v>272</v>
      </c>
      <c r="D258" s="0" t="n">
        <v>250</v>
      </c>
      <c r="E258" s="0" t="s">
        <v>231</v>
      </c>
      <c r="F258" s="0" t="n">
        <v>4</v>
      </c>
      <c r="G258" s="0" t="n">
        <f aca="false">$D258/$F258</f>
        <v>62.5</v>
      </c>
      <c r="H258" s="0" t="n">
        <f aca="false">SUMIFS(Home!$E$28:$E$39,Home!$B$28:$B$39,$B258)</f>
        <v>0</v>
      </c>
      <c r="I258" s="0" t="n">
        <f aca="false">$G258*$H258</f>
        <v>0</v>
      </c>
      <c r="J258" s="0" t="n">
        <f aca="false">$G258*Home!$D$5</f>
        <v>250</v>
      </c>
      <c r="K258" s="0" t="n">
        <f aca="false">INDEX(Pantry!$I$7:$I$68,MATCH($C258,Pantry!$A$7:$A$68,0))</f>
        <v>300</v>
      </c>
      <c r="L258" s="0" t="n">
        <f aca="false">IF($K258&gt;=$J258-0.0001,1,0)</f>
        <v>1</v>
      </c>
      <c r="M258" s="0" t="n">
        <f aca="false">MAX(0,$J258-$K258)</f>
        <v>0</v>
      </c>
    </row>
    <row r="259" customFormat="false" ht="15" hidden="false" customHeight="false" outlineLevel="0" collapsed="false">
      <c r="A259" s="0" t="s">
        <v>115</v>
      </c>
      <c r="B259" s="0" t="s">
        <v>116</v>
      </c>
      <c r="C259" s="0" t="s">
        <v>208</v>
      </c>
      <c r="D259" s="0" t="n">
        <v>1</v>
      </c>
      <c r="E259" s="0" t="s">
        <v>209</v>
      </c>
      <c r="F259" s="0" t="n">
        <v>4</v>
      </c>
      <c r="G259" s="0" t="n">
        <f aca="false">$D259/$F259</f>
        <v>0.25</v>
      </c>
      <c r="H259" s="0" t="n">
        <f aca="false">SUMIFS(Home!$E$28:$E$39,Home!$B$28:$B$39,$B259)</f>
        <v>0</v>
      </c>
      <c r="I259" s="0" t="n">
        <f aca="false">$G259*$H259</f>
        <v>0</v>
      </c>
      <c r="J259" s="0" t="n">
        <f aca="false">$G259*Home!$D$5</f>
        <v>1</v>
      </c>
      <c r="K259" s="0" t="n">
        <f aca="false">INDEX(Pantry!$I$7:$I$68,MATCH($C259,Pantry!$A$7:$A$68,0))</f>
        <v>6</v>
      </c>
      <c r="L259" s="0" t="n">
        <f aca="false">IF($K259&gt;=$J259-0.0001,1,0)</f>
        <v>1</v>
      </c>
      <c r="M259" s="0" t="n">
        <f aca="false">MAX(0,$J259-$K259)</f>
        <v>0</v>
      </c>
    </row>
    <row r="260" customFormat="false" ht="15" hidden="false" customHeight="false" outlineLevel="0" collapsed="false">
      <c r="A260" s="0" t="s">
        <v>115</v>
      </c>
      <c r="B260" s="0" t="s">
        <v>116</v>
      </c>
      <c r="C260" s="0" t="s">
        <v>226</v>
      </c>
      <c r="D260" s="0" t="n">
        <v>1</v>
      </c>
      <c r="E260" s="0" t="s">
        <v>214</v>
      </c>
      <c r="F260" s="0" t="n">
        <v>4</v>
      </c>
      <c r="G260" s="0" t="n">
        <f aca="false">$D260/$F260</f>
        <v>0.25</v>
      </c>
      <c r="H260" s="0" t="n">
        <f aca="false">SUMIFS(Home!$E$28:$E$39,Home!$B$28:$B$39,$B260)</f>
        <v>0</v>
      </c>
      <c r="I260" s="0" t="n">
        <f aca="false">$G260*$H260</f>
        <v>0</v>
      </c>
      <c r="J260" s="0" t="n">
        <f aca="false">$G260*Home!$D$5</f>
        <v>1</v>
      </c>
      <c r="K260" s="0" t="n">
        <f aca="false">INDEX(Pantry!$I$7:$I$68,MATCH($C260,Pantry!$A$7:$A$68,0))</f>
        <v>4</v>
      </c>
      <c r="L260" s="0" t="n">
        <f aca="false">IF($K260&gt;=$J260-0.0001,1,0)</f>
        <v>1</v>
      </c>
      <c r="M260" s="0" t="n">
        <f aca="false">MAX(0,$J260-$K260)</f>
        <v>0</v>
      </c>
    </row>
    <row r="261" customFormat="false" ht="15" hidden="false" customHeight="false" outlineLevel="0" collapsed="false">
      <c r="A261" s="0" t="s">
        <v>115</v>
      </c>
      <c r="B261" s="0" t="s">
        <v>116</v>
      </c>
      <c r="C261" s="0" t="s">
        <v>213</v>
      </c>
      <c r="D261" s="0" t="n">
        <v>1</v>
      </c>
      <c r="E261" s="0" t="s">
        <v>214</v>
      </c>
      <c r="F261" s="0" t="n">
        <v>4</v>
      </c>
      <c r="G261" s="0" t="n">
        <f aca="false">$D261/$F261</f>
        <v>0.25</v>
      </c>
      <c r="H261" s="0" t="n">
        <f aca="false">SUMIFS(Home!$E$28:$E$39,Home!$B$28:$B$39,$B261)</f>
        <v>0</v>
      </c>
      <c r="I261" s="0" t="n">
        <f aca="false">$G261*$H261</f>
        <v>0</v>
      </c>
      <c r="J261" s="0" t="n">
        <f aca="false">$G261*Home!$D$5</f>
        <v>1</v>
      </c>
      <c r="K261" s="0" t="n">
        <f aca="false">INDEX(Pantry!$I$7:$I$68,MATCH($C261,Pantry!$A$7:$A$68,0))</f>
        <v>1</v>
      </c>
      <c r="L261" s="0" t="n">
        <f aca="false">IF($K261&gt;=$J261-0.0001,1,0)</f>
        <v>1</v>
      </c>
      <c r="M261" s="0" t="n">
        <f aca="false">MAX(0,$J261-$K261)</f>
        <v>0</v>
      </c>
    </row>
    <row r="262" customFormat="false" ht="15" hidden="false" customHeight="false" outlineLevel="0" collapsed="false">
      <c r="A262" s="0" t="s">
        <v>115</v>
      </c>
      <c r="B262" s="0" t="s">
        <v>116</v>
      </c>
      <c r="C262" s="0" t="s">
        <v>233</v>
      </c>
      <c r="D262" s="0" t="n">
        <v>0.75</v>
      </c>
      <c r="E262" s="0" t="s">
        <v>223</v>
      </c>
      <c r="F262" s="0" t="n">
        <v>4</v>
      </c>
      <c r="G262" s="0" t="n">
        <f aca="false">$D262/$F262</f>
        <v>0.1875</v>
      </c>
      <c r="H262" s="0" t="n">
        <f aca="false">SUMIFS(Home!$E$28:$E$39,Home!$B$28:$B$39,$B262)</f>
        <v>0</v>
      </c>
      <c r="I262" s="0" t="n">
        <f aca="false">$G262*$H262</f>
        <v>0</v>
      </c>
      <c r="J262" s="0" t="n">
        <f aca="false">$G262*Home!$D$5</f>
        <v>0.75</v>
      </c>
      <c r="K262" s="0" t="n">
        <f aca="false">INDEX(Pantry!$I$7:$I$68,MATCH($C262,Pantry!$A$7:$A$68,0))</f>
        <v>15</v>
      </c>
      <c r="L262" s="0" t="n">
        <f aca="false">IF($K262&gt;=$J262-0.0001,1,0)</f>
        <v>1</v>
      </c>
      <c r="M262" s="0" t="n">
        <f aca="false">MAX(0,$J262-$K262)</f>
        <v>0</v>
      </c>
    </row>
    <row r="263" customFormat="false" ht="15" hidden="false" customHeight="false" outlineLevel="0" collapsed="false">
      <c r="A263" s="0" t="s">
        <v>115</v>
      </c>
      <c r="B263" s="0" t="s">
        <v>116</v>
      </c>
      <c r="C263" s="0" t="s">
        <v>232</v>
      </c>
      <c r="D263" s="0" t="n">
        <v>1</v>
      </c>
      <c r="E263" s="0" t="s">
        <v>223</v>
      </c>
      <c r="F263" s="0" t="n">
        <v>4</v>
      </c>
      <c r="G263" s="0" t="n">
        <f aca="false">$D263/$F263</f>
        <v>0.25</v>
      </c>
      <c r="H263" s="0" t="n">
        <f aca="false">SUMIFS(Home!$E$28:$E$39,Home!$B$28:$B$39,$B263)</f>
        <v>0</v>
      </c>
      <c r="I263" s="0" t="n">
        <f aca="false">$G263*$H263</f>
        <v>0</v>
      </c>
      <c r="J263" s="0" t="n">
        <f aca="false">$G263*Home!$D$5</f>
        <v>1</v>
      </c>
      <c r="K263" s="0" t="n">
        <f aca="false">INDEX(Pantry!$I$7:$I$68,MATCH($C263,Pantry!$A$7:$A$68,0))</f>
        <v>20</v>
      </c>
      <c r="L263" s="0" t="n">
        <f aca="false">IF($K263&gt;=$J263-0.0001,1,0)</f>
        <v>1</v>
      </c>
      <c r="M263" s="0" t="n">
        <f aca="false">MAX(0,$J263-$K263)</f>
        <v>0</v>
      </c>
    </row>
    <row r="264" customFormat="false" ht="15" hidden="false" customHeight="false" outlineLevel="0" collapsed="false">
      <c r="A264" s="0" t="s">
        <v>115</v>
      </c>
      <c r="B264" s="0" t="s">
        <v>116</v>
      </c>
      <c r="C264" s="0" t="s">
        <v>227</v>
      </c>
      <c r="D264" s="0" t="n">
        <v>1.5</v>
      </c>
      <c r="E264" s="0" t="s">
        <v>223</v>
      </c>
      <c r="F264" s="0" t="n">
        <v>4</v>
      </c>
      <c r="G264" s="0" t="n">
        <f aca="false">$D264/$F264</f>
        <v>0.375</v>
      </c>
      <c r="H264" s="0" t="n">
        <f aca="false">SUMIFS(Home!$E$28:$E$39,Home!$B$28:$B$39,$B264)</f>
        <v>0</v>
      </c>
      <c r="I264" s="0" t="n">
        <f aca="false">$G264*$H264</f>
        <v>0</v>
      </c>
      <c r="J264" s="0" t="n">
        <f aca="false">$G264*Home!$D$5</f>
        <v>1.5</v>
      </c>
      <c r="K264" s="0" t="n">
        <f aca="false">INDEX(Pantry!$I$7:$I$68,MATCH($C264,Pantry!$A$7:$A$68,0))</f>
        <v>8</v>
      </c>
      <c r="L264" s="0" t="n">
        <f aca="false">IF($K264&gt;=$J264-0.0001,1,0)</f>
        <v>1</v>
      </c>
      <c r="M264" s="0" t="n">
        <f aca="false">MAX(0,$J264-$K264)</f>
        <v>0</v>
      </c>
    </row>
    <row r="265" customFormat="false" ht="15" hidden="false" customHeight="false" outlineLevel="0" collapsed="false">
      <c r="A265" s="0" t="s">
        <v>115</v>
      </c>
      <c r="B265" s="0" t="s">
        <v>116</v>
      </c>
      <c r="C265" s="0" t="s">
        <v>258</v>
      </c>
      <c r="D265" s="0" t="n">
        <v>2</v>
      </c>
      <c r="E265" s="0" t="s">
        <v>209</v>
      </c>
      <c r="F265" s="0" t="n">
        <v>4</v>
      </c>
      <c r="G265" s="0" t="n">
        <f aca="false">$D265/$F265</f>
        <v>0.5</v>
      </c>
      <c r="H265" s="0" t="n">
        <f aca="false">SUMIFS(Home!$E$28:$E$39,Home!$B$28:$B$39,$B265)</f>
        <v>0</v>
      </c>
      <c r="I265" s="0" t="n">
        <f aca="false">$G265*$H265</f>
        <v>0</v>
      </c>
      <c r="J265" s="0" t="n">
        <f aca="false">$G265*Home!$D$5</f>
        <v>2</v>
      </c>
      <c r="K265" s="0" t="n">
        <f aca="false">INDEX(Pantry!$I$7:$I$68,MATCH($C265,Pantry!$A$7:$A$68,0))</f>
        <v>0</v>
      </c>
      <c r="L265" s="0" t="n">
        <f aca="false">IF($K265&gt;=$J265-0.0001,1,0)</f>
        <v>0</v>
      </c>
      <c r="M265" s="0" t="n">
        <f aca="false">MAX(0,$J265-$K265)</f>
        <v>2</v>
      </c>
    </row>
    <row r="266" customFormat="false" ht="15" hidden="false" customHeight="false" outlineLevel="0" collapsed="false">
      <c r="A266" s="0" t="s">
        <v>115</v>
      </c>
      <c r="B266" s="0" t="s">
        <v>116</v>
      </c>
      <c r="C266" s="0" t="s">
        <v>216</v>
      </c>
      <c r="D266" s="0" t="n">
        <v>0.5</v>
      </c>
      <c r="E266" s="0" t="s">
        <v>212</v>
      </c>
      <c r="F266" s="0" t="n">
        <v>4</v>
      </c>
      <c r="G266" s="0" t="n">
        <f aca="false">$D266/$F266</f>
        <v>0.125</v>
      </c>
      <c r="H266" s="0" t="n">
        <f aca="false">SUMIFS(Home!$E$28:$E$39,Home!$B$28:$B$39,$B266)</f>
        <v>0</v>
      </c>
      <c r="I266" s="0" t="n">
        <f aca="false">$G266*$H266</f>
        <v>0</v>
      </c>
      <c r="J266" s="0" t="n">
        <f aca="false">$G266*Home!$D$5</f>
        <v>0.5</v>
      </c>
      <c r="K266" s="0" t="n">
        <f aca="false">INDEX(Pantry!$I$7:$I$68,MATCH($C266,Pantry!$A$7:$A$68,0))</f>
        <v>5</v>
      </c>
      <c r="L266" s="0" t="n">
        <f aca="false">IF($K266&gt;=$J266-0.0001,1,0)</f>
        <v>1</v>
      </c>
      <c r="M266" s="0" t="n">
        <f aca="false">MAX(0,$J266-$K266)</f>
        <v>0</v>
      </c>
    </row>
    <row r="267" customFormat="false" ht="15" hidden="false" customHeight="false" outlineLevel="0" collapsed="false">
      <c r="A267" s="0" t="s">
        <v>115</v>
      </c>
      <c r="B267" s="0" t="s">
        <v>116</v>
      </c>
      <c r="C267" s="0" t="s">
        <v>222</v>
      </c>
      <c r="D267" s="0" t="n">
        <v>1.5</v>
      </c>
      <c r="E267" s="0" t="s">
        <v>223</v>
      </c>
      <c r="F267" s="0" t="n">
        <v>4</v>
      </c>
      <c r="G267" s="0" t="n">
        <f aca="false">$D267/$F267</f>
        <v>0.375</v>
      </c>
      <c r="H267" s="0" t="n">
        <f aca="false">SUMIFS(Home!$E$28:$E$39,Home!$B$28:$B$39,$B267)</f>
        <v>0</v>
      </c>
      <c r="I267" s="0" t="n">
        <f aca="false">$G267*$H267</f>
        <v>0</v>
      </c>
      <c r="J267" s="0" t="n">
        <f aca="false">$G267*Home!$D$5</f>
        <v>1.5</v>
      </c>
      <c r="K267" s="0" t="n">
        <f aca="false">INDEX(Pantry!$I$7:$I$68,MATCH($C267,Pantry!$A$7:$A$68,0))</f>
        <v>50</v>
      </c>
      <c r="L267" s="0" t="n">
        <f aca="false">IF($K267&gt;=$J267-0.0001,1,0)</f>
        <v>1</v>
      </c>
      <c r="M267" s="0" t="n">
        <f aca="false">MAX(0,$J267-$K267)</f>
        <v>0</v>
      </c>
    </row>
    <row r="268" customFormat="false" ht="15" hidden="false" customHeight="false" outlineLevel="0" collapsed="false">
      <c r="A268" s="0" t="s">
        <v>115</v>
      </c>
      <c r="B268" s="0" t="s">
        <v>116</v>
      </c>
      <c r="C268" s="0" t="s">
        <v>220</v>
      </c>
      <c r="D268" s="0" t="n">
        <v>2</v>
      </c>
      <c r="E268" s="0" t="s">
        <v>209</v>
      </c>
      <c r="F268" s="0" t="n">
        <v>4</v>
      </c>
      <c r="G268" s="0" t="n">
        <f aca="false">$D268/$F268</f>
        <v>0.5</v>
      </c>
      <c r="H268" s="0" t="n">
        <f aca="false">SUMIFS(Home!$E$28:$E$39,Home!$B$28:$B$39,$B268)</f>
        <v>0</v>
      </c>
      <c r="I268" s="0" t="n">
        <f aca="false">$G268*$H268</f>
        <v>0</v>
      </c>
      <c r="J268" s="0" t="n">
        <f aca="false">$G268*Home!$D$5</f>
        <v>2</v>
      </c>
      <c r="K268" s="0" t="n">
        <f aca="false">INDEX(Pantry!$I$7:$I$68,MATCH($C268,Pantry!$A$7:$A$68,0))</f>
        <v>10</v>
      </c>
      <c r="L268" s="0" t="n">
        <f aca="false">IF($K268&gt;=$J268-0.0001,1,0)</f>
        <v>1</v>
      </c>
      <c r="M268" s="0" t="n">
        <f aca="false">MAX(0,$J268-$K268)</f>
        <v>0</v>
      </c>
    </row>
    <row r="269" customFormat="false" ht="15" hidden="false" customHeight="false" outlineLevel="0" collapsed="false">
      <c r="A269" s="0" t="s">
        <v>119</v>
      </c>
      <c r="B269" s="0" t="s">
        <v>120</v>
      </c>
      <c r="C269" s="0" t="s">
        <v>273</v>
      </c>
      <c r="D269" s="0" t="n">
        <v>3</v>
      </c>
      <c r="E269" s="0" t="s">
        <v>218</v>
      </c>
      <c r="F269" s="0" t="n">
        <v>5</v>
      </c>
      <c r="G269" s="0" t="n">
        <f aca="false">$D269/$F269</f>
        <v>0.6</v>
      </c>
      <c r="H269" s="0" t="n">
        <f aca="false">SUMIFS(Home!$E$28:$E$39,Home!$B$28:$B$39,$B269)</f>
        <v>0</v>
      </c>
      <c r="I269" s="0" t="n">
        <f aca="false">$G269*$H269</f>
        <v>0</v>
      </c>
      <c r="J269" s="0" t="n">
        <f aca="false">$G269*Home!$D$5</f>
        <v>2.4</v>
      </c>
      <c r="K269" s="0" t="n">
        <f aca="false">INDEX(Pantry!$I$7:$I$68,MATCH($C269,Pantry!$A$7:$A$68,0))</f>
        <v>0</v>
      </c>
      <c r="L269" s="0" t="n">
        <f aca="false">IF($K269&gt;=$J269-0.0001,1,0)</f>
        <v>0</v>
      </c>
      <c r="M269" s="0" t="n">
        <f aca="false">MAX(0,$J269-$K269)</f>
        <v>2.4</v>
      </c>
    </row>
    <row r="270" customFormat="false" ht="15" hidden="false" customHeight="false" outlineLevel="0" collapsed="false">
      <c r="A270" s="0" t="s">
        <v>119</v>
      </c>
      <c r="B270" s="0" t="s">
        <v>120</v>
      </c>
      <c r="C270" s="0" t="s">
        <v>274</v>
      </c>
      <c r="D270" s="0" t="n">
        <v>2</v>
      </c>
      <c r="E270" s="0" t="s">
        <v>218</v>
      </c>
      <c r="F270" s="0" t="n">
        <v>5</v>
      </c>
      <c r="G270" s="0" t="n">
        <f aca="false">$D270/$F270</f>
        <v>0.4</v>
      </c>
      <c r="H270" s="0" t="n">
        <f aca="false">SUMIFS(Home!$E$28:$E$39,Home!$B$28:$B$39,$B270)</f>
        <v>0</v>
      </c>
      <c r="I270" s="0" t="n">
        <f aca="false">$G270*$H270</f>
        <v>0</v>
      </c>
      <c r="J270" s="0" t="n">
        <f aca="false">$G270*Home!$D$5</f>
        <v>1.6</v>
      </c>
      <c r="K270" s="0" t="n">
        <f aca="false">INDEX(Pantry!$I$7:$I$68,MATCH($C270,Pantry!$A$7:$A$68,0))</f>
        <v>1</v>
      </c>
      <c r="L270" s="0" t="n">
        <f aca="false">IF($K270&gt;=$J270-0.0001,1,0)</f>
        <v>0</v>
      </c>
      <c r="M270" s="0" t="n">
        <f aca="false">MAX(0,$J270-$K270)</f>
        <v>0.6</v>
      </c>
    </row>
    <row r="271" customFormat="false" ht="15" hidden="false" customHeight="false" outlineLevel="0" collapsed="false">
      <c r="A271" s="0" t="s">
        <v>119</v>
      </c>
      <c r="B271" s="0" t="s">
        <v>120</v>
      </c>
      <c r="C271" s="0" t="s">
        <v>220</v>
      </c>
      <c r="D271" s="0" t="n">
        <v>4</v>
      </c>
      <c r="E271" s="0" t="s">
        <v>209</v>
      </c>
      <c r="F271" s="0" t="n">
        <v>5</v>
      </c>
      <c r="G271" s="0" t="n">
        <f aca="false">$D271/$F271</f>
        <v>0.8</v>
      </c>
      <c r="H271" s="0" t="n">
        <f aca="false">SUMIFS(Home!$E$28:$E$39,Home!$B$28:$B$39,$B271)</f>
        <v>0</v>
      </c>
      <c r="I271" s="0" t="n">
        <f aca="false">$G271*$H271</f>
        <v>0</v>
      </c>
      <c r="J271" s="0" t="n">
        <f aca="false">$G271*Home!$D$5</f>
        <v>3.2</v>
      </c>
      <c r="K271" s="0" t="n">
        <f aca="false">INDEX(Pantry!$I$7:$I$68,MATCH($C271,Pantry!$A$7:$A$68,0))</f>
        <v>10</v>
      </c>
      <c r="L271" s="0" t="n">
        <f aca="false">IF($K271&gt;=$J271-0.0001,1,0)</f>
        <v>1</v>
      </c>
      <c r="M271" s="0" t="n">
        <f aca="false">MAX(0,$J271-$K271)</f>
        <v>0</v>
      </c>
    </row>
    <row r="272" customFormat="false" ht="15" hidden="false" customHeight="false" outlineLevel="0" collapsed="false">
      <c r="A272" s="0" t="s">
        <v>119</v>
      </c>
      <c r="B272" s="0" t="s">
        <v>120</v>
      </c>
      <c r="C272" s="0" t="s">
        <v>275</v>
      </c>
      <c r="D272" s="0" t="n">
        <v>4</v>
      </c>
      <c r="E272" s="0" t="s">
        <v>214</v>
      </c>
      <c r="F272" s="0" t="n">
        <v>5</v>
      </c>
      <c r="G272" s="0" t="n">
        <f aca="false">$D272/$F272</f>
        <v>0.8</v>
      </c>
      <c r="H272" s="0" t="n">
        <f aca="false">SUMIFS(Home!$E$28:$E$39,Home!$B$28:$B$39,$B272)</f>
        <v>0</v>
      </c>
      <c r="I272" s="0" t="n">
        <f aca="false">$G272*$H272</f>
        <v>0</v>
      </c>
      <c r="J272" s="0" t="n">
        <f aca="false">$G272*Home!$D$5</f>
        <v>3.2</v>
      </c>
      <c r="K272" s="0" t="n">
        <f aca="false">INDEX(Pantry!$I$7:$I$68,MATCH($C272,Pantry!$A$7:$A$68,0))</f>
        <v>0</v>
      </c>
      <c r="L272" s="0" t="n">
        <f aca="false">IF($K272&gt;=$J272-0.0001,1,0)</f>
        <v>0</v>
      </c>
      <c r="M272" s="0" t="n">
        <f aca="false">MAX(0,$J272-$K272)</f>
        <v>3.2</v>
      </c>
    </row>
    <row r="273" customFormat="false" ht="15" hidden="false" customHeight="false" outlineLevel="0" collapsed="false">
      <c r="A273" s="0" t="s">
        <v>119</v>
      </c>
      <c r="B273" s="0" t="s">
        <v>120</v>
      </c>
      <c r="C273" s="0" t="s">
        <v>239</v>
      </c>
      <c r="D273" s="0" t="n">
        <v>4</v>
      </c>
      <c r="E273" s="0" t="s">
        <v>214</v>
      </c>
      <c r="F273" s="0" t="n">
        <v>5</v>
      </c>
      <c r="G273" s="0" t="n">
        <f aca="false">$D273/$F273</f>
        <v>0.8</v>
      </c>
      <c r="H273" s="0" t="n">
        <f aca="false">SUMIFS(Home!$E$28:$E$39,Home!$B$28:$B$39,$B273)</f>
        <v>0</v>
      </c>
      <c r="I273" s="0" t="n">
        <f aca="false">$G273*$H273</f>
        <v>0</v>
      </c>
      <c r="J273" s="0" t="n">
        <f aca="false">$G273*Home!$D$5</f>
        <v>3.2</v>
      </c>
      <c r="K273" s="0" t="n">
        <f aca="false">INDEX(Pantry!$I$7:$I$68,MATCH($C273,Pantry!$A$7:$A$68,0))</f>
        <v>8</v>
      </c>
      <c r="L273" s="0" t="n">
        <f aca="false">IF($K273&gt;=$J273-0.0001,1,0)</f>
        <v>1</v>
      </c>
      <c r="M273" s="0" t="n">
        <f aca="false">MAX(0,$J273-$K273)</f>
        <v>0</v>
      </c>
    </row>
    <row r="274" customFormat="false" ht="15" hidden="false" customHeight="false" outlineLevel="0" collapsed="false">
      <c r="A274" s="0" t="s">
        <v>119</v>
      </c>
      <c r="B274" s="0" t="s">
        <v>120</v>
      </c>
      <c r="C274" s="0" t="s">
        <v>236</v>
      </c>
      <c r="D274" s="0" t="n">
        <v>2</v>
      </c>
      <c r="E274" s="0" t="s">
        <v>237</v>
      </c>
      <c r="F274" s="0" t="n">
        <v>5</v>
      </c>
      <c r="G274" s="0" t="n">
        <f aca="false">$D274/$F274</f>
        <v>0.4</v>
      </c>
      <c r="H274" s="0" t="n">
        <f aca="false">SUMIFS(Home!$E$28:$E$39,Home!$B$28:$B$39,$B274)</f>
        <v>0</v>
      </c>
      <c r="I274" s="0" t="n">
        <f aca="false">$G274*$H274</f>
        <v>0</v>
      </c>
      <c r="J274" s="0" t="n">
        <f aca="false">$G274*Home!$D$5</f>
        <v>1.6</v>
      </c>
      <c r="K274" s="0" t="n">
        <f aca="false">INDEX(Pantry!$I$7:$I$68,MATCH($C274,Pantry!$A$7:$A$68,0))</f>
        <v>3</v>
      </c>
      <c r="L274" s="0" t="n">
        <f aca="false">IF($K274&gt;=$J274-0.0001,1,0)</f>
        <v>1</v>
      </c>
      <c r="M274" s="0" t="n">
        <f aca="false">MAX(0,$J274-$K274)</f>
        <v>0</v>
      </c>
    </row>
    <row r="275" customFormat="false" ht="15" hidden="false" customHeight="false" outlineLevel="0" collapsed="false">
      <c r="A275" s="0" t="s">
        <v>119</v>
      </c>
      <c r="B275" s="0" t="s">
        <v>120</v>
      </c>
      <c r="C275" s="0" t="s">
        <v>216</v>
      </c>
      <c r="D275" s="0" t="n">
        <v>0.25</v>
      </c>
      <c r="E275" s="0" t="s">
        <v>212</v>
      </c>
      <c r="F275" s="0" t="n">
        <v>5</v>
      </c>
      <c r="G275" s="0" t="n">
        <f aca="false">$D275/$F275</f>
        <v>0.05</v>
      </c>
      <c r="H275" s="0" t="n">
        <f aca="false">SUMIFS(Home!$E$28:$E$39,Home!$B$28:$B$39,$B275)</f>
        <v>0</v>
      </c>
      <c r="I275" s="0" t="n">
        <f aca="false">$G275*$H275</f>
        <v>0</v>
      </c>
      <c r="J275" s="0" t="n">
        <f aca="false">$G275*Home!$D$5</f>
        <v>0.2</v>
      </c>
      <c r="K275" s="0" t="n">
        <f aca="false">INDEX(Pantry!$I$7:$I$68,MATCH($C275,Pantry!$A$7:$A$68,0))</f>
        <v>5</v>
      </c>
      <c r="L275" s="0" t="n">
        <f aca="false">IF($K275&gt;=$J275-0.0001,1,0)</f>
        <v>1</v>
      </c>
      <c r="M275" s="0" t="n">
        <f aca="false">MAX(0,$J275-$K275)</f>
        <v>0</v>
      </c>
    </row>
    <row r="276" customFormat="false" ht="15" hidden="false" customHeight="false" outlineLevel="0" collapsed="false">
      <c r="A276" s="0" t="s">
        <v>119</v>
      </c>
      <c r="B276" s="0" t="s">
        <v>120</v>
      </c>
      <c r="C276" s="0" t="s">
        <v>222</v>
      </c>
      <c r="D276" s="0" t="n">
        <v>2</v>
      </c>
      <c r="E276" s="0" t="s">
        <v>223</v>
      </c>
      <c r="F276" s="0" t="n">
        <v>5</v>
      </c>
      <c r="G276" s="0" t="n">
        <f aca="false">$D276/$F276</f>
        <v>0.4</v>
      </c>
      <c r="H276" s="0" t="n">
        <f aca="false">SUMIFS(Home!$E$28:$E$39,Home!$B$28:$B$39,$B276)</f>
        <v>0</v>
      </c>
      <c r="I276" s="0" t="n">
        <f aca="false">$G276*$H276</f>
        <v>0</v>
      </c>
      <c r="J276" s="0" t="n">
        <f aca="false">$G276*Home!$D$5</f>
        <v>1.6</v>
      </c>
      <c r="K276" s="0" t="n">
        <f aca="false">INDEX(Pantry!$I$7:$I$68,MATCH($C276,Pantry!$A$7:$A$68,0))</f>
        <v>50</v>
      </c>
      <c r="L276" s="0" t="n">
        <f aca="false">IF($K276&gt;=$J276-0.0001,1,0)</f>
        <v>1</v>
      </c>
      <c r="M276" s="0" t="n">
        <f aca="false">MAX(0,$J276-$K276)</f>
        <v>0</v>
      </c>
    </row>
    <row r="277" customFormat="false" ht="15" hidden="false" customHeight="false" outlineLevel="0" collapsed="false">
      <c r="A277" s="0" t="s">
        <v>119</v>
      </c>
      <c r="B277" s="0" t="s">
        <v>120</v>
      </c>
      <c r="C277" s="0" t="s">
        <v>232</v>
      </c>
      <c r="D277" s="0" t="n">
        <v>1</v>
      </c>
      <c r="E277" s="0" t="s">
        <v>223</v>
      </c>
      <c r="F277" s="0" t="n">
        <v>5</v>
      </c>
      <c r="G277" s="0" t="n">
        <f aca="false">$D277/$F277</f>
        <v>0.2</v>
      </c>
      <c r="H277" s="0" t="n">
        <f aca="false">SUMIFS(Home!$E$28:$E$39,Home!$B$28:$B$39,$B277)</f>
        <v>0</v>
      </c>
      <c r="I277" s="0" t="n">
        <f aca="false">$G277*$H277</f>
        <v>0</v>
      </c>
      <c r="J277" s="0" t="n">
        <f aca="false">$G277*Home!$D$5</f>
        <v>0.8</v>
      </c>
      <c r="K277" s="0" t="n">
        <f aca="false">INDEX(Pantry!$I$7:$I$68,MATCH($C277,Pantry!$A$7:$A$68,0))</f>
        <v>20</v>
      </c>
      <c r="L277" s="0" t="n">
        <f aca="false">IF($K277&gt;=$J277-0.0001,1,0)</f>
        <v>1</v>
      </c>
      <c r="M277" s="0" t="n">
        <f aca="false">MAX(0,$J277-$K277)</f>
        <v>0</v>
      </c>
    </row>
    <row r="278" customFormat="false" ht="15" hidden="false" customHeight="false" outlineLevel="0" collapsed="false">
      <c r="A278" s="0" t="s">
        <v>119</v>
      </c>
      <c r="B278" s="0" t="s">
        <v>120</v>
      </c>
      <c r="C278" s="0" t="s">
        <v>213</v>
      </c>
      <c r="D278" s="0" t="n">
        <v>1</v>
      </c>
      <c r="E278" s="0" t="s">
        <v>214</v>
      </c>
      <c r="F278" s="0" t="n">
        <v>5</v>
      </c>
      <c r="G278" s="0" t="n">
        <f aca="false">$D278/$F278</f>
        <v>0.2</v>
      </c>
      <c r="H278" s="0" t="n">
        <f aca="false">SUMIFS(Home!$E$28:$E$39,Home!$B$28:$B$39,$B278)</f>
        <v>0</v>
      </c>
      <c r="I278" s="0" t="n">
        <f aca="false">$G278*$H278</f>
        <v>0</v>
      </c>
      <c r="J278" s="0" t="n">
        <f aca="false">$G278*Home!$D$5</f>
        <v>0.8</v>
      </c>
      <c r="K278" s="0" t="n">
        <f aca="false">INDEX(Pantry!$I$7:$I$68,MATCH($C278,Pantry!$A$7:$A$68,0))</f>
        <v>1</v>
      </c>
      <c r="L278" s="0" t="n">
        <f aca="false">IF($K278&gt;=$J278-0.0001,1,0)</f>
        <v>1</v>
      </c>
      <c r="M278" s="0" t="n">
        <f aca="false">MAX(0,$J278-$K278)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23" t="s">
        <v>276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4" t="s">
        <v>277</v>
      </c>
    </row>
    <row r="3" customFormat="false" ht="15" hidden="false" customHeight="false" outlineLevel="0" collapsed="false">
      <c r="A3" s="25" t="s">
        <v>278</v>
      </c>
      <c r="C3" s="26"/>
      <c r="D3" s="26"/>
      <c r="E3" s="26"/>
      <c r="F3" s="40" t="str">
        <f aca="false">IF($C$3="","pick a dish to check",IF(SUMPRODUCT((Data!$B$3:$B$278=$C$3)*(Data!$L$3:$L$278=0))=0,"ALL AVAILABLE for "&amp;Home!$D$5&amp;" people","MISSING "&amp;SUMPRODUCT((Data!$B$3:$B$278=$C$3)*(Data!$L$3:$L$278=0))&amp;" item(s)"))</f>
        <v>pick a dish to check</v>
      </c>
      <c r="G3" s="40"/>
      <c r="H3" s="40"/>
      <c r="I3" s="40"/>
    </row>
    <row r="4" customFormat="false" ht="25.5" hidden="false" customHeight="true" outlineLevel="0" collapsed="false">
      <c r="A4" s="41" t="s">
        <v>279</v>
      </c>
      <c r="C4" s="42" t="str">
        <f aca="false" t="array" ref="C4:C4">IF($C$3="","",_xlfn.TEXTJOIN(", ",TRUE(),IF((Data!$B$3:$B$278=$C$3)*(Data!$M$3:$M$278&gt;0),Data!$C$3:$C$278&amp;" ("&amp;TEXT(Data!$M$3:$M$278,"0.##")&amp;" "&amp;Data!$E$3:$E$278&amp;")","")))</f>
        <v/>
      </c>
      <c r="D4" s="42"/>
      <c r="E4" s="42"/>
      <c r="F4" s="42"/>
      <c r="G4" s="42"/>
      <c r="H4" s="42"/>
      <c r="I4" s="42"/>
      <c r="J4" s="42"/>
    </row>
    <row r="6" customFormat="false" ht="15" hidden="false" customHeight="false" outlineLevel="0" collapsed="false">
      <c r="A6" s="10" t="s">
        <v>194</v>
      </c>
      <c r="B6" s="10" t="s">
        <v>280</v>
      </c>
      <c r="C6" s="10" t="s">
        <v>196</v>
      </c>
      <c r="D6" s="10" t="s">
        <v>281</v>
      </c>
      <c r="E6" s="10" t="s">
        <v>282</v>
      </c>
      <c r="F6" s="10" t="s">
        <v>283</v>
      </c>
      <c r="G6" s="10" t="s">
        <v>284</v>
      </c>
      <c r="H6" s="10" t="s">
        <v>285</v>
      </c>
      <c r="I6" s="10" t="s">
        <v>286</v>
      </c>
      <c r="J6" s="10" t="s">
        <v>287</v>
      </c>
    </row>
    <row r="7" customFormat="false" ht="15" hidden="false" customHeight="false" outlineLevel="0" collapsed="false">
      <c r="A7" s="35" t="s">
        <v>265</v>
      </c>
      <c r="B7" s="20" t="n">
        <v>0</v>
      </c>
      <c r="C7" s="35" t="s">
        <v>231</v>
      </c>
      <c r="D7" s="43" t="n">
        <v>250</v>
      </c>
      <c r="E7" s="44" t="n">
        <v>46210</v>
      </c>
      <c r="F7" s="43" t="s">
        <v>288</v>
      </c>
      <c r="G7" s="43"/>
      <c r="H7" s="45" t="n">
        <f aca="false">SUMIFS(Data!$I$3:$I$278,Data!$C$3:$C$278,$A7)</f>
        <v>0</v>
      </c>
      <c r="I7" s="45" t="n">
        <f aca="false">MAX(0,$B7-$H7)</f>
        <v>0</v>
      </c>
      <c r="J7" s="45" t="str">
        <f aca="false">IF($I7&lt;$D7,"LOW - BUY","OK")</f>
        <v>LOW - BUY</v>
      </c>
    </row>
    <row r="8" customFormat="false" ht="15" hidden="false" customHeight="false" outlineLevel="0" collapsed="false">
      <c r="A8" s="35" t="s">
        <v>260</v>
      </c>
      <c r="B8" s="20" t="n">
        <v>0</v>
      </c>
      <c r="C8" s="35" t="s">
        <v>231</v>
      </c>
      <c r="D8" s="43" t="n">
        <v>100</v>
      </c>
      <c r="E8" s="44" t="n">
        <v>46210</v>
      </c>
      <c r="F8" s="43" t="s">
        <v>288</v>
      </c>
      <c r="G8" s="43"/>
      <c r="H8" s="45" t="n">
        <f aca="false">SUMIFS(Data!$I$3:$I$278,Data!$C$3:$C$278,$A8)</f>
        <v>0</v>
      </c>
      <c r="I8" s="45" t="n">
        <f aca="false">MAX(0,$B8-$H8)</f>
        <v>0</v>
      </c>
      <c r="J8" s="45" t="str">
        <f aca="false">IF($I8&lt;$D8,"LOW - BUY","OK")</f>
        <v>LOW - BUY</v>
      </c>
    </row>
    <row r="9" customFormat="false" ht="15" hidden="false" customHeight="false" outlineLevel="0" collapsed="false">
      <c r="A9" s="35" t="s">
        <v>257</v>
      </c>
      <c r="B9" s="20" t="n">
        <v>2</v>
      </c>
      <c r="C9" s="35" t="s">
        <v>209</v>
      </c>
      <c r="D9" s="43" t="n">
        <v>1</v>
      </c>
      <c r="E9" s="44" t="n">
        <v>46210</v>
      </c>
      <c r="F9" s="43" t="s">
        <v>288</v>
      </c>
      <c r="G9" s="43"/>
      <c r="H9" s="45" t="n">
        <f aca="false">SUMIFS(Data!$I$3:$I$278,Data!$C$3:$C$278,$A9)</f>
        <v>0</v>
      </c>
      <c r="I9" s="45" t="n">
        <f aca="false">MAX(0,$B9-$H9)</f>
        <v>2</v>
      </c>
      <c r="J9" s="45" t="str">
        <f aca="false">IF($I9&lt;$D9,"LOW - BUY","OK")</f>
        <v>OK</v>
      </c>
    </row>
    <row r="10" customFormat="false" ht="15" hidden="false" customHeight="false" outlineLevel="0" collapsed="false">
      <c r="A10" s="35" t="s">
        <v>259</v>
      </c>
      <c r="B10" s="20" t="n">
        <v>3</v>
      </c>
      <c r="C10" s="35" t="s">
        <v>209</v>
      </c>
      <c r="D10" s="43" t="n">
        <v>2</v>
      </c>
      <c r="E10" s="44" t="n">
        <v>46210</v>
      </c>
      <c r="F10" s="43" t="s">
        <v>288</v>
      </c>
      <c r="G10" s="43"/>
      <c r="H10" s="45" t="n">
        <f aca="false">SUMIFS(Data!$I$3:$I$278,Data!$C$3:$C$278,$A10)</f>
        <v>0</v>
      </c>
      <c r="I10" s="45" t="n">
        <f aca="false">MAX(0,$B10-$H10)</f>
        <v>3</v>
      </c>
      <c r="J10" s="45" t="str">
        <f aca="false">IF($I10&lt;$D10,"LOW - BUY","OK")</f>
        <v>OK</v>
      </c>
    </row>
    <row r="11" customFormat="false" ht="15" hidden="false" customHeight="false" outlineLevel="0" collapsed="false">
      <c r="A11" s="35" t="s">
        <v>264</v>
      </c>
      <c r="B11" s="20" t="n">
        <v>0</v>
      </c>
      <c r="C11" s="35" t="s">
        <v>209</v>
      </c>
      <c r="D11" s="43" t="n">
        <v>1</v>
      </c>
      <c r="E11" s="44" t="n">
        <v>46210</v>
      </c>
      <c r="F11" s="43" t="s">
        <v>288</v>
      </c>
      <c r="G11" s="43"/>
      <c r="H11" s="45" t="n">
        <f aca="false">SUMIFS(Data!$I$3:$I$278,Data!$C$3:$C$278,$A11)</f>
        <v>0</v>
      </c>
      <c r="I11" s="45" t="n">
        <f aca="false">MAX(0,$B11-$H11)</f>
        <v>0</v>
      </c>
      <c r="J11" s="45" t="str">
        <f aca="false">IF($I11&lt;$D11,"LOW - BUY","OK")</f>
        <v>LOW - BUY</v>
      </c>
    </row>
    <row r="12" customFormat="false" ht="15" hidden="false" customHeight="false" outlineLevel="0" collapsed="false">
      <c r="A12" s="35" t="s">
        <v>242</v>
      </c>
      <c r="B12" s="20" t="n">
        <v>4</v>
      </c>
      <c r="C12" s="35" t="s">
        <v>243</v>
      </c>
      <c r="D12" s="43" t="n">
        <v>2</v>
      </c>
      <c r="E12" s="44" t="n">
        <v>46210</v>
      </c>
      <c r="F12" s="43" t="s">
        <v>288</v>
      </c>
      <c r="G12" s="43"/>
      <c r="H12" s="45" t="n">
        <f aca="false">SUMIFS(Data!$I$3:$I$278,Data!$C$3:$C$278,$A12)</f>
        <v>0</v>
      </c>
      <c r="I12" s="45" t="n">
        <f aca="false">MAX(0,$B12-$H12)</f>
        <v>4</v>
      </c>
      <c r="J12" s="45" t="str">
        <f aca="false">IF($I12&lt;$D12,"LOW - BUY","OK")</f>
        <v>OK</v>
      </c>
    </row>
    <row r="13" customFormat="false" ht="15" hidden="false" customHeight="false" outlineLevel="0" collapsed="false">
      <c r="A13" s="35" t="s">
        <v>219</v>
      </c>
      <c r="B13" s="20" t="n">
        <v>2</v>
      </c>
      <c r="C13" s="35" t="s">
        <v>218</v>
      </c>
      <c r="D13" s="43" t="n">
        <v>1</v>
      </c>
      <c r="E13" s="44" t="n">
        <v>46210</v>
      </c>
      <c r="F13" s="43" t="s">
        <v>288</v>
      </c>
      <c r="G13" s="43"/>
      <c r="H13" s="45" t="n">
        <f aca="false">SUMIFS(Data!$I$3:$I$278,Data!$C$3:$C$278,$A13)</f>
        <v>0</v>
      </c>
      <c r="I13" s="45" t="n">
        <f aca="false">MAX(0,$B13-$H13)</f>
        <v>2</v>
      </c>
      <c r="J13" s="45" t="str">
        <f aca="false">IF($I13&lt;$D13,"LOW - BUY","OK")</f>
        <v>OK</v>
      </c>
    </row>
    <row r="14" customFormat="false" ht="15" hidden="false" customHeight="false" outlineLevel="0" collapsed="false">
      <c r="A14" s="35" t="s">
        <v>236</v>
      </c>
      <c r="B14" s="20" t="n">
        <v>3</v>
      </c>
      <c r="C14" s="35" t="s">
        <v>237</v>
      </c>
      <c r="D14" s="43" t="n">
        <v>2</v>
      </c>
      <c r="E14" s="44" t="n">
        <v>46210</v>
      </c>
      <c r="F14" s="43" t="s">
        <v>288</v>
      </c>
      <c r="G14" s="43"/>
      <c r="H14" s="45" t="n">
        <f aca="false">SUMIFS(Data!$I$3:$I$278,Data!$C$3:$C$278,$A14)</f>
        <v>0</v>
      </c>
      <c r="I14" s="45" t="n">
        <f aca="false">MAX(0,$B14-$H14)</f>
        <v>3</v>
      </c>
      <c r="J14" s="45" t="str">
        <f aca="false">IF($I14&lt;$D14,"LOW - BUY","OK")</f>
        <v>OK</v>
      </c>
    </row>
    <row r="15" customFormat="false" ht="15" hidden="false" customHeight="false" outlineLevel="0" collapsed="false">
      <c r="A15" s="35" t="s">
        <v>220</v>
      </c>
      <c r="B15" s="20" t="n">
        <v>10</v>
      </c>
      <c r="C15" s="35" t="s">
        <v>209</v>
      </c>
      <c r="D15" s="43" t="n">
        <v>5</v>
      </c>
      <c r="E15" s="44" t="n">
        <v>46210</v>
      </c>
      <c r="F15" s="43" t="s">
        <v>288</v>
      </c>
      <c r="G15" s="43"/>
      <c r="H15" s="45" t="n">
        <f aca="false">SUMIFS(Data!$I$3:$I$278,Data!$C$3:$C$278,$A15)</f>
        <v>0</v>
      </c>
      <c r="I15" s="45" t="n">
        <f aca="false">MAX(0,$B15-$H15)</f>
        <v>10</v>
      </c>
      <c r="J15" s="45" t="str">
        <f aca="false">IF($I15&lt;$D15,"LOW - BUY","OK")</f>
        <v>OK</v>
      </c>
    </row>
    <row r="16" customFormat="false" ht="15" hidden="false" customHeight="false" outlineLevel="0" collapsed="false">
      <c r="A16" s="35" t="s">
        <v>221</v>
      </c>
      <c r="B16" s="20" t="n">
        <v>1</v>
      </c>
      <c r="C16" s="35" t="s">
        <v>209</v>
      </c>
      <c r="D16" s="43" t="n">
        <v>2</v>
      </c>
      <c r="E16" s="44" t="n">
        <v>46210</v>
      </c>
      <c r="F16" s="43" t="s">
        <v>288</v>
      </c>
      <c r="G16" s="43"/>
      <c r="H16" s="45" t="n">
        <f aca="false">SUMIFS(Data!$I$3:$I$278,Data!$C$3:$C$278,$A16)</f>
        <v>0</v>
      </c>
      <c r="I16" s="45" t="n">
        <f aca="false">MAX(0,$B16-$H16)</f>
        <v>1</v>
      </c>
      <c r="J16" s="45" t="str">
        <f aca="false">IF($I16&lt;$D16,"LOW - BUY","OK")</f>
        <v>LOW - BUY</v>
      </c>
    </row>
    <row r="17" customFormat="false" ht="15" hidden="false" customHeight="false" outlineLevel="0" collapsed="false">
      <c r="A17" s="35" t="s">
        <v>217</v>
      </c>
      <c r="B17" s="20" t="n">
        <v>0</v>
      </c>
      <c r="C17" s="35" t="s">
        <v>218</v>
      </c>
      <c r="D17" s="43" t="n">
        <v>1</v>
      </c>
      <c r="E17" s="44" t="n">
        <v>46210</v>
      </c>
      <c r="F17" s="43" t="s">
        <v>288</v>
      </c>
      <c r="G17" s="43"/>
      <c r="H17" s="45" t="n">
        <f aca="false">SUMIFS(Data!$I$3:$I$278,Data!$C$3:$C$278,$A17)</f>
        <v>0</v>
      </c>
      <c r="I17" s="45" t="n">
        <f aca="false">MAX(0,$B17-$H17)</f>
        <v>0</v>
      </c>
      <c r="J17" s="45" t="str">
        <f aca="false">IF($I17&lt;$D17,"LOW - BUY","OK")</f>
        <v>LOW - BUY</v>
      </c>
    </row>
    <row r="18" customFormat="false" ht="15" hidden="false" customHeight="false" outlineLevel="0" collapsed="false">
      <c r="A18" s="35" t="s">
        <v>273</v>
      </c>
      <c r="B18" s="20" t="n">
        <v>0</v>
      </c>
      <c r="C18" s="35" t="s">
        <v>218</v>
      </c>
      <c r="D18" s="43" t="n">
        <v>2</v>
      </c>
      <c r="E18" s="44" t="n">
        <v>46210</v>
      </c>
      <c r="F18" s="43" t="s">
        <v>288</v>
      </c>
      <c r="G18" s="43"/>
      <c r="H18" s="45" t="n">
        <f aca="false">SUMIFS(Data!$I$3:$I$278,Data!$C$3:$C$278,$A18)</f>
        <v>0</v>
      </c>
      <c r="I18" s="45" t="n">
        <f aca="false">MAX(0,$B18-$H18)</f>
        <v>0</v>
      </c>
      <c r="J18" s="45" t="str">
        <f aca="false">IF($I18&lt;$D18,"LOW - BUY","OK")</f>
        <v>LOW - BUY</v>
      </c>
    </row>
    <row r="19" customFormat="false" ht="15" hidden="false" customHeight="false" outlineLevel="0" collapsed="false">
      <c r="A19" s="35" t="s">
        <v>263</v>
      </c>
      <c r="B19" s="20" t="n">
        <v>0</v>
      </c>
      <c r="C19" s="35" t="s">
        <v>231</v>
      </c>
      <c r="D19" s="43" t="n">
        <v>250</v>
      </c>
      <c r="E19" s="44" t="n">
        <v>46210</v>
      </c>
      <c r="F19" s="43" t="s">
        <v>288</v>
      </c>
      <c r="G19" s="43"/>
      <c r="H19" s="45" t="n">
        <f aca="false">SUMIFS(Data!$I$3:$I$278,Data!$C$3:$C$278,$A19)</f>
        <v>0</v>
      </c>
      <c r="I19" s="45" t="n">
        <f aca="false">MAX(0,$B19-$H19)</f>
        <v>0</v>
      </c>
      <c r="J19" s="45" t="str">
        <f aca="false">IF($I19&lt;$D19,"LOW - BUY","OK")</f>
        <v>LOW - BUY</v>
      </c>
    </row>
    <row r="20" customFormat="false" ht="15" hidden="false" customHeight="false" outlineLevel="0" collapsed="false">
      <c r="A20" s="35" t="s">
        <v>208</v>
      </c>
      <c r="B20" s="20" t="n">
        <v>6</v>
      </c>
      <c r="C20" s="35" t="s">
        <v>209</v>
      </c>
      <c r="D20" s="43" t="n">
        <v>2</v>
      </c>
      <c r="E20" s="44" t="n">
        <v>46210</v>
      </c>
      <c r="F20" s="43" t="s">
        <v>288</v>
      </c>
      <c r="G20" s="43"/>
      <c r="H20" s="45" t="n">
        <f aca="false">SUMIFS(Data!$I$3:$I$278,Data!$C$3:$C$278,$A20)</f>
        <v>0</v>
      </c>
      <c r="I20" s="45" t="n">
        <f aca="false">MAX(0,$B20-$H20)</f>
        <v>6</v>
      </c>
      <c r="J20" s="45" t="str">
        <f aca="false">IF($I20&lt;$D20,"LOW - BUY","OK")</f>
        <v>OK</v>
      </c>
    </row>
    <row r="21" customFormat="false" ht="15" hidden="false" customHeight="false" outlineLevel="0" collapsed="false">
      <c r="A21" s="35" t="s">
        <v>247</v>
      </c>
      <c r="B21" s="20" t="n">
        <v>5</v>
      </c>
      <c r="C21" s="35" t="s">
        <v>209</v>
      </c>
      <c r="D21" s="43" t="n">
        <v>3</v>
      </c>
      <c r="E21" s="44" t="n">
        <v>46210</v>
      </c>
      <c r="F21" s="43" t="s">
        <v>288</v>
      </c>
      <c r="G21" s="43"/>
      <c r="H21" s="45" t="n">
        <f aca="false">SUMIFS(Data!$I$3:$I$278,Data!$C$3:$C$278,$A21)</f>
        <v>0</v>
      </c>
      <c r="I21" s="45" t="n">
        <f aca="false">MAX(0,$B21-$H21)</f>
        <v>5</v>
      </c>
      <c r="J21" s="45" t="str">
        <f aca="false">IF($I21&lt;$D21,"LOW - BUY","OK")</f>
        <v>OK</v>
      </c>
    </row>
    <row r="22" customFormat="false" ht="15" hidden="false" customHeight="false" outlineLevel="0" collapsed="false">
      <c r="A22" s="35" t="s">
        <v>274</v>
      </c>
      <c r="B22" s="20" t="n">
        <v>1</v>
      </c>
      <c r="C22" s="35" t="s">
        <v>218</v>
      </c>
      <c r="D22" s="43" t="n">
        <v>1</v>
      </c>
      <c r="E22" s="44" t="n">
        <v>46210</v>
      </c>
      <c r="F22" s="43" t="s">
        <v>288</v>
      </c>
      <c r="G22" s="43"/>
      <c r="H22" s="45" t="n">
        <f aca="false">SUMIFS(Data!$I$3:$I$278,Data!$C$3:$C$278,$A22)</f>
        <v>0</v>
      </c>
      <c r="I22" s="45" t="n">
        <f aca="false">MAX(0,$B22-$H22)</f>
        <v>1</v>
      </c>
      <c r="J22" s="45" t="str">
        <f aca="false">IF($I22&lt;$D22,"LOW - BUY","OK")</f>
        <v>OK</v>
      </c>
    </row>
    <row r="23" customFormat="false" ht="15" hidden="false" customHeight="false" outlineLevel="0" collapsed="false">
      <c r="A23" s="35" t="s">
        <v>258</v>
      </c>
      <c r="B23" s="20" t="n">
        <v>0</v>
      </c>
      <c r="C23" s="35" t="s">
        <v>209</v>
      </c>
      <c r="D23" s="43" t="n">
        <v>2</v>
      </c>
      <c r="E23" s="44" t="n">
        <v>46210</v>
      </c>
      <c r="F23" s="43" t="s">
        <v>288</v>
      </c>
      <c r="G23" s="43"/>
      <c r="H23" s="45" t="n">
        <f aca="false">SUMIFS(Data!$I$3:$I$278,Data!$C$3:$C$278,$A23)</f>
        <v>0</v>
      </c>
      <c r="I23" s="45" t="n">
        <f aca="false">MAX(0,$B23-$H23)</f>
        <v>0</v>
      </c>
      <c r="J23" s="45" t="str">
        <f aca="false">IF($I23&lt;$D23,"LOW - BUY","OK")</f>
        <v>LOW - BUY</v>
      </c>
    </row>
    <row r="24" customFormat="false" ht="15" hidden="false" customHeight="false" outlineLevel="0" collapsed="false">
      <c r="A24" s="35" t="s">
        <v>210</v>
      </c>
      <c r="B24" s="20" t="n">
        <v>4</v>
      </c>
      <c r="C24" s="35" t="s">
        <v>209</v>
      </c>
      <c r="D24" s="43" t="n">
        <v>3</v>
      </c>
      <c r="E24" s="44" t="n">
        <v>46210</v>
      </c>
      <c r="F24" s="43" t="s">
        <v>288</v>
      </c>
      <c r="G24" s="43"/>
      <c r="H24" s="45" t="n">
        <f aca="false">SUMIFS(Data!$I$3:$I$278,Data!$C$3:$C$278,$A24)</f>
        <v>0</v>
      </c>
      <c r="I24" s="45" t="n">
        <f aca="false">MAX(0,$B24-$H24)</f>
        <v>4</v>
      </c>
      <c r="J24" s="45" t="str">
        <f aca="false">IF($I24&lt;$D24,"LOW - BUY","OK")</f>
        <v>OK</v>
      </c>
    </row>
    <row r="25" customFormat="false" ht="15" hidden="false" customHeight="false" outlineLevel="0" collapsed="false">
      <c r="A25" s="35" t="s">
        <v>246</v>
      </c>
      <c r="B25" s="20" t="n">
        <v>0</v>
      </c>
      <c r="C25" s="35" t="s">
        <v>206</v>
      </c>
      <c r="D25" s="43" t="n">
        <v>0.5</v>
      </c>
      <c r="E25" s="44" t="n">
        <v>46210</v>
      </c>
      <c r="F25" s="43" t="s">
        <v>288</v>
      </c>
      <c r="G25" s="43"/>
      <c r="H25" s="45" t="n">
        <f aca="false">SUMIFS(Data!$I$3:$I$278,Data!$C$3:$C$278,$A25)</f>
        <v>0</v>
      </c>
      <c r="I25" s="45" t="n">
        <f aca="false">MAX(0,$B25-$H25)</f>
        <v>0</v>
      </c>
      <c r="J25" s="45" t="str">
        <f aca="false">IF($I25&lt;$D25,"LOW - BUY","OK")</f>
        <v>LOW - BUY</v>
      </c>
    </row>
    <row r="26" customFormat="false" ht="15" hidden="false" customHeight="false" outlineLevel="0" collapsed="false">
      <c r="A26" s="35" t="s">
        <v>249</v>
      </c>
      <c r="B26" s="20" t="n">
        <v>1</v>
      </c>
      <c r="C26" s="35" t="s">
        <v>206</v>
      </c>
      <c r="D26" s="43" t="n">
        <v>0.5</v>
      </c>
      <c r="E26" s="44" t="n">
        <v>46210</v>
      </c>
      <c r="F26" s="43" t="s">
        <v>288</v>
      </c>
      <c r="G26" s="43"/>
      <c r="H26" s="45" t="n">
        <f aca="false">SUMIFS(Data!$I$3:$I$278,Data!$C$3:$C$278,$A26)</f>
        <v>0</v>
      </c>
      <c r="I26" s="45" t="n">
        <f aca="false">MAX(0,$B26-$H26)</f>
        <v>1</v>
      </c>
      <c r="J26" s="45" t="str">
        <f aca="false">IF($I26&lt;$D26,"LOW - BUY","OK")</f>
        <v>OK</v>
      </c>
    </row>
    <row r="27" customFormat="false" ht="15" hidden="false" customHeight="false" outlineLevel="0" collapsed="false">
      <c r="A27" s="35" t="s">
        <v>268</v>
      </c>
      <c r="B27" s="20" t="n">
        <v>0</v>
      </c>
      <c r="C27" s="35" t="s">
        <v>206</v>
      </c>
      <c r="D27" s="43" t="n">
        <v>1</v>
      </c>
      <c r="E27" s="44" t="n">
        <v>46210</v>
      </c>
      <c r="F27" s="43" t="s">
        <v>288</v>
      </c>
      <c r="G27" s="43"/>
      <c r="H27" s="45" t="n">
        <f aca="false">SUMIFS(Data!$I$3:$I$278,Data!$C$3:$C$278,$A27)</f>
        <v>0</v>
      </c>
      <c r="I27" s="45" t="n">
        <f aca="false">MAX(0,$B27-$H27)</f>
        <v>0</v>
      </c>
      <c r="J27" s="45" t="str">
        <f aca="false">IF($I27&lt;$D27,"LOW - BUY","OK")</f>
        <v>LOW - BUY</v>
      </c>
    </row>
    <row r="28" customFormat="false" ht="15" hidden="false" customHeight="false" outlineLevel="0" collapsed="false">
      <c r="A28" s="35" t="s">
        <v>205</v>
      </c>
      <c r="B28" s="20" t="n">
        <v>1</v>
      </c>
      <c r="C28" s="35" t="s">
        <v>206</v>
      </c>
      <c r="D28" s="43" t="n">
        <v>1</v>
      </c>
      <c r="E28" s="44" t="n">
        <v>46210</v>
      </c>
      <c r="F28" s="43" t="s">
        <v>288</v>
      </c>
      <c r="G28" s="43"/>
      <c r="H28" s="45" t="n">
        <f aca="false">SUMIFS(Data!$I$3:$I$278,Data!$C$3:$C$278,$A28)</f>
        <v>0</v>
      </c>
      <c r="I28" s="45" t="n">
        <f aca="false">MAX(0,$B28-$H28)</f>
        <v>1</v>
      </c>
      <c r="J28" s="45" t="str">
        <f aca="false">IF($I28&lt;$D28,"LOW - BUY","OK")</f>
        <v>OK</v>
      </c>
    </row>
    <row r="29" customFormat="false" ht="15" hidden="false" customHeight="false" outlineLevel="0" collapsed="false">
      <c r="A29" s="35" t="s">
        <v>239</v>
      </c>
      <c r="B29" s="20" t="n">
        <v>8</v>
      </c>
      <c r="C29" s="35" t="s">
        <v>214</v>
      </c>
      <c r="D29" s="43" t="n">
        <v>2</v>
      </c>
      <c r="E29" s="44" t="n">
        <v>46210</v>
      </c>
      <c r="F29" s="43" t="s">
        <v>288</v>
      </c>
      <c r="G29" s="43"/>
      <c r="H29" s="45" t="n">
        <f aca="false">SUMIFS(Data!$I$3:$I$278,Data!$C$3:$C$278,$A29)</f>
        <v>0</v>
      </c>
      <c r="I29" s="45" t="n">
        <f aca="false">MAX(0,$B29-$H29)</f>
        <v>8</v>
      </c>
      <c r="J29" s="45" t="str">
        <f aca="false">IF($I29&lt;$D29,"LOW - BUY","OK")</f>
        <v>OK</v>
      </c>
    </row>
    <row r="30" customFormat="false" ht="15" hidden="false" customHeight="false" outlineLevel="0" collapsed="false">
      <c r="A30" s="35" t="s">
        <v>250</v>
      </c>
      <c r="B30" s="20" t="n">
        <v>6</v>
      </c>
      <c r="C30" s="35" t="s">
        <v>209</v>
      </c>
      <c r="D30" s="43" t="n">
        <v>4</v>
      </c>
      <c r="E30" s="44" t="n">
        <v>46210</v>
      </c>
      <c r="F30" s="43" t="s">
        <v>288</v>
      </c>
      <c r="G30" s="43"/>
      <c r="H30" s="45" t="n">
        <f aca="false">SUMIFS(Data!$I$3:$I$278,Data!$C$3:$C$278,$A30)</f>
        <v>0</v>
      </c>
      <c r="I30" s="45" t="n">
        <f aca="false">MAX(0,$B30-$H30)</f>
        <v>6</v>
      </c>
      <c r="J30" s="45" t="str">
        <f aca="false">IF($I30&lt;$D30,"LOW - BUY","OK")</f>
        <v>OK</v>
      </c>
    </row>
    <row r="31" customFormat="false" ht="15" hidden="false" customHeight="false" outlineLevel="0" collapsed="false">
      <c r="A31" s="35" t="s">
        <v>211</v>
      </c>
      <c r="B31" s="20" t="n">
        <v>2</v>
      </c>
      <c r="C31" s="35" t="s">
        <v>212</v>
      </c>
      <c r="D31" s="43" t="n">
        <v>1</v>
      </c>
      <c r="E31" s="44" t="n">
        <v>46210</v>
      </c>
      <c r="F31" s="43" t="s">
        <v>288</v>
      </c>
      <c r="G31" s="43"/>
      <c r="H31" s="45" t="n">
        <f aca="false">SUMIFS(Data!$I$3:$I$278,Data!$C$3:$C$278,$A31)</f>
        <v>0</v>
      </c>
      <c r="I31" s="45" t="n">
        <f aca="false">MAX(0,$B31-$H31)</f>
        <v>2</v>
      </c>
      <c r="J31" s="45" t="str">
        <f aca="false">IF($I31&lt;$D31,"LOW - BUY","OK")</f>
        <v>OK</v>
      </c>
    </row>
    <row r="32" customFormat="false" ht="15" hidden="false" customHeight="false" outlineLevel="0" collapsed="false">
      <c r="A32" s="35" t="s">
        <v>215</v>
      </c>
      <c r="B32" s="20" t="n">
        <v>2</v>
      </c>
      <c r="C32" s="35" t="s">
        <v>214</v>
      </c>
      <c r="D32" s="43" t="n">
        <v>2</v>
      </c>
      <c r="E32" s="44" t="n">
        <v>46210</v>
      </c>
      <c r="F32" s="43" t="s">
        <v>288</v>
      </c>
      <c r="G32" s="43"/>
      <c r="H32" s="45" t="n">
        <f aca="false">SUMIFS(Data!$I$3:$I$278,Data!$C$3:$C$278,$A32)</f>
        <v>0</v>
      </c>
      <c r="I32" s="45" t="n">
        <f aca="false">MAX(0,$B32-$H32)</f>
        <v>2</v>
      </c>
      <c r="J32" s="45" t="str">
        <f aca="false">IF($I32&lt;$D32,"LOW - BUY","OK")</f>
        <v>OK</v>
      </c>
    </row>
    <row r="33" customFormat="false" ht="15" hidden="false" customHeight="false" outlineLevel="0" collapsed="false">
      <c r="A33" s="35" t="s">
        <v>238</v>
      </c>
      <c r="B33" s="20" t="n">
        <v>5</v>
      </c>
      <c r="C33" s="35" t="s">
        <v>223</v>
      </c>
      <c r="D33" s="43" t="n">
        <v>2</v>
      </c>
      <c r="E33" s="44" t="n">
        <v>46210</v>
      </c>
      <c r="F33" s="43" t="s">
        <v>288</v>
      </c>
      <c r="G33" s="43"/>
      <c r="H33" s="45" t="n">
        <f aca="false">SUMIFS(Data!$I$3:$I$278,Data!$C$3:$C$278,$A33)</f>
        <v>0</v>
      </c>
      <c r="I33" s="45" t="n">
        <f aca="false">MAX(0,$B33-$H33)</f>
        <v>5</v>
      </c>
      <c r="J33" s="45" t="str">
        <f aca="false">IF($I33&lt;$D33,"LOW - BUY","OK")</f>
        <v>OK</v>
      </c>
    </row>
    <row r="34" customFormat="false" ht="15" hidden="false" customHeight="false" outlineLevel="0" collapsed="false">
      <c r="A34" s="35" t="s">
        <v>234</v>
      </c>
      <c r="B34" s="20" t="n">
        <v>12</v>
      </c>
      <c r="C34" s="35" t="s">
        <v>223</v>
      </c>
      <c r="D34" s="43" t="n">
        <v>4</v>
      </c>
      <c r="E34" s="44" t="n">
        <v>46210</v>
      </c>
      <c r="F34" s="43" t="s">
        <v>288</v>
      </c>
      <c r="G34" s="43"/>
      <c r="H34" s="45" t="n">
        <f aca="false">SUMIFS(Data!$I$3:$I$278,Data!$C$3:$C$278,$A34)</f>
        <v>0</v>
      </c>
      <c r="I34" s="45" t="n">
        <f aca="false">MAX(0,$B34-$H34)</f>
        <v>12</v>
      </c>
      <c r="J34" s="45" t="str">
        <f aca="false">IF($I34&lt;$D34,"LOW - BUY","OK")</f>
        <v>OK</v>
      </c>
    </row>
    <row r="35" customFormat="false" ht="15" hidden="false" customHeight="false" outlineLevel="0" collapsed="false">
      <c r="A35" s="35" t="s">
        <v>228</v>
      </c>
      <c r="B35" s="20" t="n">
        <v>6</v>
      </c>
      <c r="C35" s="35" t="s">
        <v>223</v>
      </c>
      <c r="D35" s="43" t="n">
        <v>2</v>
      </c>
      <c r="E35" s="44" t="n">
        <v>46210</v>
      </c>
      <c r="F35" s="43" t="s">
        <v>288</v>
      </c>
      <c r="G35" s="43"/>
      <c r="H35" s="45" t="n">
        <f aca="false">SUMIFS(Data!$I$3:$I$278,Data!$C$3:$C$278,$A35)</f>
        <v>0</v>
      </c>
      <c r="I35" s="45" t="n">
        <f aca="false">MAX(0,$B35-$H35)</f>
        <v>6</v>
      </c>
      <c r="J35" s="45" t="str">
        <f aca="false">IF($I35&lt;$D35,"LOW - BUY","OK")</f>
        <v>OK</v>
      </c>
    </row>
    <row r="36" customFormat="false" ht="15" hidden="false" customHeight="false" outlineLevel="0" collapsed="false">
      <c r="A36" s="35" t="s">
        <v>227</v>
      </c>
      <c r="B36" s="20" t="n">
        <v>8</v>
      </c>
      <c r="C36" s="35" t="s">
        <v>223</v>
      </c>
      <c r="D36" s="43" t="n">
        <v>3</v>
      </c>
      <c r="E36" s="44" t="n">
        <v>46210</v>
      </c>
      <c r="F36" s="43" t="s">
        <v>288</v>
      </c>
      <c r="G36" s="43"/>
      <c r="H36" s="45" t="n">
        <f aca="false">SUMIFS(Data!$I$3:$I$278,Data!$C$3:$C$278,$A36)</f>
        <v>0</v>
      </c>
      <c r="I36" s="45" t="n">
        <f aca="false">MAX(0,$B36-$H36)</f>
        <v>8</v>
      </c>
      <c r="J36" s="45" t="str">
        <f aca="false">IF($I36&lt;$D36,"LOW - BUY","OK")</f>
        <v>OK</v>
      </c>
    </row>
    <row r="37" customFormat="false" ht="15" hidden="false" customHeight="false" outlineLevel="0" collapsed="false">
      <c r="A37" s="35" t="s">
        <v>266</v>
      </c>
      <c r="B37" s="20" t="n">
        <v>2</v>
      </c>
      <c r="C37" s="35" t="s">
        <v>223</v>
      </c>
      <c r="D37" s="43" t="n">
        <v>1</v>
      </c>
      <c r="E37" s="44" t="n">
        <v>46210</v>
      </c>
      <c r="F37" s="43" t="s">
        <v>288</v>
      </c>
      <c r="G37" s="43"/>
      <c r="H37" s="45" t="n">
        <f aca="false">SUMIFS(Data!$I$3:$I$278,Data!$C$3:$C$278,$A37)</f>
        <v>0</v>
      </c>
      <c r="I37" s="45" t="n">
        <f aca="false">MAX(0,$B37-$H37)</f>
        <v>2</v>
      </c>
      <c r="J37" s="45" t="str">
        <f aca="false">IF($I37&lt;$D37,"LOW - BUY","OK")</f>
        <v>OK</v>
      </c>
    </row>
    <row r="38" customFormat="false" ht="15" hidden="false" customHeight="false" outlineLevel="0" collapsed="false">
      <c r="A38" s="35" t="s">
        <v>229</v>
      </c>
      <c r="B38" s="20" t="n">
        <v>1</v>
      </c>
      <c r="C38" s="35" t="s">
        <v>223</v>
      </c>
      <c r="D38" s="43" t="n">
        <v>2</v>
      </c>
      <c r="E38" s="44" t="n">
        <v>46210</v>
      </c>
      <c r="F38" s="43" t="s">
        <v>288</v>
      </c>
      <c r="G38" s="43"/>
      <c r="H38" s="45" t="n">
        <f aca="false">SUMIFS(Data!$I$3:$I$278,Data!$C$3:$C$278,$A38)</f>
        <v>0</v>
      </c>
      <c r="I38" s="45" t="n">
        <f aca="false">MAX(0,$B38-$H38)</f>
        <v>1</v>
      </c>
      <c r="J38" s="45" t="str">
        <f aca="false">IF($I38&lt;$D38,"LOW - BUY","OK")</f>
        <v>LOW - BUY</v>
      </c>
    </row>
    <row r="39" customFormat="false" ht="15" hidden="false" customHeight="false" outlineLevel="0" collapsed="false">
      <c r="A39" s="35" t="s">
        <v>235</v>
      </c>
      <c r="B39" s="20" t="n">
        <v>10</v>
      </c>
      <c r="C39" s="35" t="s">
        <v>223</v>
      </c>
      <c r="D39" s="43" t="n">
        <v>3</v>
      </c>
      <c r="E39" s="44" t="n">
        <v>46210</v>
      </c>
      <c r="F39" s="43" t="s">
        <v>288</v>
      </c>
      <c r="G39" s="43"/>
      <c r="H39" s="45" t="n">
        <f aca="false">SUMIFS(Data!$I$3:$I$278,Data!$C$3:$C$278,$A39)</f>
        <v>0</v>
      </c>
      <c r="I39" s="45" t="n">
        <f aca="false">MAX(0,$B39-$H39)</f>
        <v>10</v>
      </c>
      <c r="J39" s="45" t="str">
        <f aca="false">IF($I39&lt;$D39,"LOW - BUY","OK")</f>
        <v>OK</v>
      </c>
    </row>
    <row r="40" customFormat="false" ht="15" hidden="false" customHeight="false" outlineLevel="0" collapsed="false">
      <c r="A40" s="35" t="s">
        <v>248</v>
      </c>
      <c r="B40" s="20" t="n">
        <v>0</v>
      </c>
      <c r="C40" s="35" t="s">
        <v>223</v>
      </c>
      <c r="D40" s="43" t="n">
        <v>2</v>
      </c>
      <c r="E40" s="44" t="n">
        <v>46210</v>
      </c>
      <c r="F40" s="43" t="s">
        <v>288</v>
      </c>
      <c r="G40" s="43"/>
      <c r="H40" s="45" t="n">
        <f aca="false">SUMIFS(Data!$I$3:$I$278,Data!$C$3:$C$278,$A40)</f>
        <v>0</v>
      </c>
      <c r="I40" s="45" t="n">
        <f aca="false">MAX(0,$B40-$H40)</f>
        <v>0</v>
      </c>
      <c r="J40" s="45" t="str">
        <f aca="false">IF($I40&lt;$D40,"LOW - BUY","OK")</f>
        <v>LOW - BUY</v>
      </c>
    </row>
    <row r="41" customFormat="false" ht="15" hidden="false" customHeight="false" outlineLevel="0" collapsed="false">
      <c r="A41" s="35" t="s">
        <v>269</v>
      </c>
      <c r="B41" s="20" t="n">
        <v>0</v>
      </c>
      <c r="C41" s="35" t="s">
        <v>214</v>
      </c>
      <c r="D41" s="43" t="n">
        <v>2</v>
      </c>
      <c r="E41" s="44" t="n">
        <v>46210</v>
      </c>
      <c r="F41" s="43" t="s">
        <v>288</v>
      </c>
      <c r="G41" s="43"/>
      <c r="H41" s="45" t="n">
        <f aca="false">SUMIFS(Data!$I$3:$I$278,Data!$C$3:$C$278,$A41)</f>
        <v>0</v>
      </c>
      <c r="I41" s="45" t="n">
        <f aca="false">MAX(0,$B41-$H41)</f>
        <v>0</v>
      </c>
      <c r="J41" s="45" t="str">
        <f aca="false">IF($I41&lt;$D41,"LOW - BUY","OK")</f>
        <v>LOW - BUY</v>
      </c>
    </row>
    <row r="42" customFormat="false" ht="15" hidden="false" customHeight="false" outlineLevel="0" collapsed="false">
      <c r="A42" s="35" t="s">
        <v>232</v>
      </c>
      <c r="B42" s="20" t="n">
        <v>20</v>
      </c>
      <c r="C42" s="35" t="s">
        <v>223</v>
      </c>
      <c r="D42" s="43" t="n">
        <v>6</v>
      </c>
      <c r="E42" s="44" t="n">
        <v>46210</v>
      </c>
      <c r="F42" s="43" t="s">
        <v>288</v>
      </c>
      <c r="G42" s="43"/>
      <c r="H42" s="45" t="n">
        <f aca="false">SUMIFS(Data!$I$3:$I$278,Data!$C$3:$C$278,$A42)</f>
        <v>0</v>
      </c>
      <c r="I42" s="45" t="n">
        <f aca="false">MAX(0,$B42-$H42)</f>
        <v>20</v>
      </c>
      <c r="J42" s="45" t="str">
        <f aca="false">IF($I42&lt;$D42,"LOW - BUY","OK")</f>
        <v>OK</v>
      </c>
    </row>
    <row r="43" customFormat="false" ht="15" hidden="false" customHeight="false" outlineLevel="0" collapsed="false">
      <c r="A43" s="35" t="s">
        <v>222</v>
      </c>
      <c r="B43" s="20" t="n">
        <v>50</v>
      </c>
      <c r="C43" s="35" t="s">
        <v>223</v>
      </c>
      <c r="D43" s="43" t="n">
        <v>10</v>
      </c>
      <c r="E43" s="44" t="n">
        <v>46210</v>
      </c>
      <c r="F43" s="43" t="s">
        <v>288</v>
      </c>
      <c r="G43" s="43"/>
      <c r="H43" s="45" t="n">
        <f aca="false">SUMIFS(Data!$I$3:$I$278,Data!$C$3:$C$278,$A43)</f>
        <v>0</v>
      </c>
      <c r="I43" s="45" t="n">
        <f aca="false">MAX(0,$B43-$H43)</f>
        <v>50</v>
      </c>
      <c r="J43" s="45" t="str">
        <f aca="false">IF($I43&lt;$D43,"LOW - BUY","OK")</f>
        <v>OK</v>
      </c>
    </row>
    <row r="44" customFormat="false" ht="15" hidden="false" customHeight="false" outlineLevel="0" collapsed="false">
      <c r="A44" s="35" t="s">
        <v>233</v>
      </c>
      <c r="B44" s="20" t="n">
        <v>15</v>
      </c>
      <c r="C44" s="35" t="s">
        <v>223</v>
      </c>
      <c r="D44" s="43" t="n">
        <v>4</v>
      </c>
      <c r="E44" s="44" t="n">
        <v>46210</v>
      </c>
      <c r="F44" s="43" t="s">
        <v>288</v>
      </c>
      <c r="G44" s="43"/>
      <c r="H44" s="45" t="n">
        <f aca="false">SUMIFS(Data!$I$3:$I$278,Data!$C$3:$C$278,$A44)</f>
        <v>0</v>
      </c>
      <c r="I44" s="45" t="n">
        <f aca="false">MAX(0,$B44-$H44)</f>
        <v>15</v>
      </c>
      <c r="J44" s="45" t="str">
        <f aca="false">IF($I44&lt;$D44,"LOW - BUY","OK")</f>
        <v>OK</v>
      </c>
    </row>
    <row r="45" customFormat="false" ht="15" hidden="false" customHeight="false" outlineLevel="0" collapsed="false">
      <c r="A45" s="35" t="s">
        <v>226</v>
      </c>
      <c r="B45" s="20" t="n">
        <v>4</v>
      </c>
      <c r="C45" s="35" t="s">
        <v>214</v>
      </c>
      <c r="D45" s="43" t="n">
        <v>2</v>
      </c>
      <c r="E45" s="44" t="n">
        <v>46210</v>
      </c>
      <c r="F45" s="43" t="s">
        <v>288</v>
      </c>
      <c r="G45" s="43"/>
      <c r="H45" s="45" t="n">
        <f aca="false">SUMIFS(Data!$I$3:$I$278,Data!$C$3:$C$278,$A45)</f>
        <v>0</v>
      </c>
      <c r="I45" s="45" t="n">
        <f aca="false">MAX(0,$B45-$H45)</f>
        <v>4</v>
      </c>
      <c r="J45" s="45" t="str">
        <f aca="false">IF($I45&lt;$D45,"LOW - BUY","OK")</f>
        <v>OK</v>
      </c>
    </row>
    <row r="46" customFormat="false" ht="15" hidden="false" customHeight="false" outlineLevel="0" collapsed="false">
      <c r="A46" s="35" t="s">
        <v>207</v>
      </c>
      <c r="B46" s="20" t="n">
        <v>3</v>
      </c>
      <c r="C46" s="35" t="s">
        <v>206</v>
      </c>
      <c r="D46" s="43" t="n">
        <v>1</v>
      </c>
      <c r="E46" s="44" t="n">
        <v>46210</v>
      </c>
      <c r="F46" s="43" t="s">
        <v>288</v>
      </c>
      <c r="G46" s="43"/>
      <c r="H46" s="45" t="n">
        <f aca="false">SUMIFS(Data!$I$3:$I$278,Data!$C$3:$C$278,$A46)</f>
        <v>0</v>
      </c>
      <c r="I46" s="45" t="n">
        <f aca="false">MAX(0,$B46-$H46)</f>
        <v>3</v>
      </c>
      <c r="J46" s="45" t="str">
        <f aca="false">IF($I46&lt;$D46,"LOW - BUY","OK")</f>
        <v>OK</v>
      </c>
    </row>
    <row r="47" customFormat="false" ht="15" hidden="false" customHeight="false" outlineLevel="0" collapsed="false">
      <c r="A47" s="35" t="s">
        <v>267</v>
      </c>
      <c r="B47" s="20" t="n">
        <v>2</v>
      </c>
      <c r="C47" s="35" t="s">
        <v>209</v>
      </c>
      <c r="D47" s="43" t="n">
        <v>1</v>
      </c>
      <c r="E47" s="44" t="n">
        <v>46210</v>
      </c>
      <c r="F47" s="43" t="s">
        <v>288</v>
      </c>
      <c r="G47" s="43"/>
      <c r="H47" s="45" t="n">
        <f aca="false">SUMIFS(Data!$I$3:$I$278,Data!$C$3:$C$278,$A47)</f>
        <v>0</v>
      </c>
      <c r="I47" s="45" t="n">
        <f aca="false">MAX(0,$B47-$H47)</f>
        <v>2</v>
      </c>
      <c r="J47" s="45" t="str">
        <f aca="false">IF($I47&lt;$D47,"LOW - BUY","OK")</f>
        <v>OK</v>
      </c>
    </row>
    <row r="48" customFormat="false" ht="15" hidden="false" customHeight="false" outlineLevel="0" collapsed="false">
      <c r="A48" s="35" t="s">
        <v>253</v>
      </c>
      <c r="B48" s="20" t="n">
        <v>2</v>
      </c>
      <c r="C48" s="35" t="s">
        <v>214</v>
      </c>
      <c r="D48" s="43" t="n">
        <v>3</v>
      </c>
      <c r="E48" s="44" t="n">
        <v>46210</v>
      </c>
      <c r="F48" s="43" t="s">
        <v>288</v>
      </c>
      <c r="G48" s="43"/>
      <c r="H48" s="45" t="n">
        <f aca="false">SUMIFS(Data!$I$3:$I$278,Data!$C$3:$C$278,$A48)</f>
        <v>0</v>
      </c>
      <c r="I48" s="45" t="n">
        <f aca="false">MAX(0,$B48-$H48)</f>
        <v>2</v>
      </c>
      <c r="J48" s="45" t="str">
        <f aca="false">IF($I48&lt;$D48,"LOW - BUY","OK")</f>
        <v>LOW - BUY</v>
      </c>
    </row>
    <row r="49" customFormat="false" ht="15" hidden="false" customHeight="false" outlineLevel="0" collapsed="false">
      <c r="A49" s="35" t="s">
        <v>216</v>
      </c>
      <c r="B49" s="20" t="n">
        <v>5</v>
      </c>
      <c r="C49" s="35" t="s">
        <v>212</v>
      </c>
      <c r="D49" s="43" t="n">
        <v>2</v>
      </c>
      <c r="E49" s="44" t="n">
        <v>46210</v>
      </c>
      <c r="F49" s="43" t="s">
        <v>288</v>
      </c>
      <c r="G49" s="43"/>
      <c r="H49" s="45" t="n">
        <f aca="false">SUMIFS(Data!$I$3:$I$278,Data!$C$3:$C$278,$A49)</f>
        <v>0</v>
      </c>
      <c r="I49" s="45" t="n">
        <f aca="false">MAX(0,$B49-$H49)</f>
        <v>5</v>
      </c>
      <c r="J49" s="45" t="str">
        <f aca="false">IF($I49&lt;$D49,"LOW - BUY","OK")</f>
        <v>OK</v>
      </c>
    </row>
    <row r="50" customFormat="false" ht="15" hidden="false" customHeight="false" outlineLevel="0" collapsed="false">
      <c r="A50" s="35" t="s">
        <v>251</v>
      </c>
      <c r="B50" s="20" t="n">
        <v>4</v>
      </c>
      <c r="C50" s="35" t="s">
        <v>214</v>
      </c>
      <c r="D50" s="43" t="n">
        <v>2</v>
      </c>
      <c r="E50" s="44" t="n">
        <v>46210</v>
      </c>
      <c r="F50" s="43" t="s">
        <v>288</v>
      </c>
      <c r="G50" s="43"/>
      <c r="H50" s="45" t="n">
        <f aca="false">SUMIFS(Data!$I$3:$I$278,Data!$C$3:$C$278,$A50)</f>
        <v>0</v>
      </c>
      <c r="I50" s="45" t="n">
        <f aca="false">MAX(0,$B50-$H50)</f>
        <v>4</v>
      </c>
      <c r="J50" s="45" t="str">
        <f aca="false">IF($I50&lt;$D50,"LOW - BUY","OK")</f>
        <v>OK</v>
      </c>
    </row>
    <row r="51" customFormat="false" ht="15" hidden="false" customHeight="false" outlineLevel="0" collapsed="false">
      <c r="A51" s="35" t="s">
        <v>224</v>
      </c>
      <c r="B51" s="20" t="n">
        <v>0</v>
      </c>
      <c r="C51" s="35" t="s">
        <v>212</v>
      </c>
      <c r="D51" s="43" t="n">
        <v>1</v>
      </c>
      <c r="E51" s="44" t="n">
        <v>46210</v>
      </c>
      <c r="F51" s="43" t="s">
        <v>288</v>
      </c>
      <c r="G51" s="43"/>
      <c r="H51" s="45" t="n">
        <f aca="false">SUMIFS(Data!$I$3:$I$278,Data!$C$3:$C$278,$A51)</f>
        <v>0</v>
      </c>
      <c r="I51" s="45" t="n">
        <f aca="false">MAX(0,$B51-$H51)</f>
        <v>0</v>
      </c>
      <c r="J51" s="45" t="str">
        <f aca="false">IF($I51&lt;$D51,"LOW - BUY","OK")</f>
        <v>LOW - BUY</v>
      </c>
    </row>
    <row r="52" customFormat="false" ht="15" hidden="false" customHeight="false" outlineLevel="0" collapsed="false">
      <c r="A52" s="35" t="s">
        <v>240</v>
      </c>
      <c r="B52" s="20" t="n">
        <v>10</v>
      </c>
      <c r="C52" s="35" t="s">
        <v>214</v>
      </c>
      <c r="D52" s="43" t="n">
        <v>4</v>
      </c>
      <c r="E52" s="44" t="n">
        <v>46210</v>
      </c>
      <c r="F52" s="43" t="s">
        <v>288</v>
      </c>
      <c r="G52" s="43"/>
      <c r="H52" s="45" t="n">
        <f aca="false">SUMIFS(Data!$I$3:$I$278,Data!$C$3:$C$278,$A52)</f>
        <v>0</v>
      </c>
      <c r="I52" s="45" t="n">
        <f aca="false">MAX(0,$B52-$H52)</f>
        <v>10</v>
      </c>
      <c r="J52" s="45" t="str">
        <f aca="false">IF($I52&lt;$D52,"LOW - BUY","OK")</f>
        <v>OK</v>
      </c>
    </row>
    <row r="53" customFormat="false" ht="15" hidden="false" customHeight="false" outlineLevel="0" collapsed="false">
      <c r="A53" s="35" t="s">
        <v>213</v>
      </c>
      <c r="B53" s="20" t="n">
        <v>1</v>
      </c>
      <c r="C53" s="35" t="s">
        <v>214</v>
      </c>
      <c r="D53" s="43" t="n">
        <v>2</v>
      </c>
      <c r="E53" s="44" t="n">
        <v>46210</v>
      </c>
      <c r="F53" s="43" t="s">
        <v>288</v>
      </c>
      <c r="G53" s="43"/>
      <c r="H53" s="45" t="n">
        <f aca="false">SUMIFS(Data!$I$3:$I$278,Data!$C$3:$C$278,$A53)</f>
        <v>0</v>
      </c>
      <c r="I53" s="45" t="n">
        <f aca="false">MAX(0,$B53-$H53)</f>
        <v>1</v>
      </c>
      <c r="J53" s="45" t="str">
        <f aca="false">IF($I53&lt;$D53,"LOW - BUY","OK")</f>
        <v>LOW - BUY</v>
      </c>
    </row>
    <row r="54" customFormat="false" ht="15" hidden="false" customHeight="false" outlineLevel="0" collapsed="false">
      <c r="A54" s="35" t="s">
        <v>271</v>
      </c>
      <c r="B54" s="20" t="n">
        <v>6</v>
      </c>
      <c r="C54" s="35" t="s">
        <v>214</v>
      </c>
      <c r="D54" s="43" t="n">
        <v>3</v>
      </c>
      <c r="E54" s="44" t="n">
        <v>46210</v>
      </c>
      <c r="F54" s="43" t="s">
        <v>288</v>
      </c>
      <c r="G54" s="43"/>
      <c r="H54" s="45" t="n">
        <f aca="false">SUMIFS(Data!$I$3:$I$278,Data!$C$3:$C$278,$A54)</f>
        <v>0</v>
      </c>
      <c r="I54" s="45" t="n">
        <f aca="false">MAX(0,$B54-$H54)</f>
        <v>6</v>
      </c>
      <c r="J54" s="45" t="str">
        <f aca="false">IF($I54&lt;$D54,"LOW - BUY","OK")</f>
        <v>OK</v>
      </c>
    </row>
    <row r="55" customFormat="false" ht="15" hidden="false" customHeight="false" outlineLevel="0" collapsed="false">
      <c r="A55" s="35" t="s">
        <v>252</v>
      </c>
      <c r="B55" s="20" t="n">
        <v>8</v>
      </c>
      <c r="C55" s="35" t="s">
        <v>214</v>
      </c>
      <c r="D55" s="43" t="n">
        <v>3</v>
      </c>
      <c r="E55" s="44" t="n">
        <v>46210</v>
      </c>
      <c r="F55" s="43" t="s">
        <v>288</v>
      </c>
      <c r="G55" s="43"/>
      <c r="H55" s="45" t="n">
        <f aca="false">SUMIFS(Data!$I$3:$I$278,Data!$C$3:$C$278,$A55)</f>
        <v>0</v>
      </c>
      <c r="I55" s="45" t="n">
        <f aca="false">MAX(0,$B55-$H55)</f>
        <v>8</v>
      </c>
      <c r="J55" s="45" t="str">
        <f aca="false">IF($I55&lt;$D55,"LOW - BUY","OK")</f>
        <v>OK</v>
      </c>
    </row>
    <row r="56" customFormat="false" ht="15" hidden="false" customHeight="false" outlineLevel="0" collapsed="false">
      <c r="A56" s="35" t="s">
        <v>225</v>
      </c>
      <c r="B56" s="20" t="n">
        <v>2</v>
      </c>
      <c r="C56" s="35" t="s">
        <v>223</v>
      </c>
      <c r="D56" s="43" t="n">
        <v>1</v>
      </c>
      <c r="E56" s="44" t="n">
        <v>46210</v>
      </c>
      <c r="F56" s="43" t="s">
        <v>288</v>
      </c>
      <c r="G56" s="43"/>
      <c r="H56" s="45" t="n">
        <f aca="false">SUMIFS(Data!$I$3:$I$278,Data!$C$3:$C$278,$A56)</f>
        <v>0</v>
      </c>
      <c r="I56" s="45" t="n">
        <f aca="false">MAX(0,$B56-$H56)</f>
        <v>2</v>
      </c>
      <c r="J56" s="45" t="str">
        <f aca="false">IF($I56&lt;$D56,"LOW - BUY","OK")</f>
        <v>OK</v>
      </c>
    </row>
    <row r="57" customFormat="false" ht="15" hidden="false" customHeight="false" outlineLevel="0" collapsed="false">
      <c r="A57" s="35" t="s">
        <v>262</v>
      </c>
      <c r="B57" s="20" t="n">
        <v>500</v>
      </c>
      <c r="C57" s="35" t="s">
        <v>231</v>
      </c>
      <c r="D57" s="43" t="n">
        <v>250</v>
      </c>
      <c r="E57" s="44" t="n">
        <v>46210</v>
      </c>
      <c r="F57" s="43" t="s">
        <v>288</v>
      </c>
      <c r="G57" s="43"/>
      <c r="H57" s="45" t="n">
        <f aca="false">SUMIFS(Data!$I$3:$I$278,Data!$C$3:$C$278,$A57)</f>
        <v>0</v>
      </c>
      <c r="I57" s="45" t="n">
        <f aca="false">MAX(0,$B57-$H57)</f>
        <v>500</v>
      </c>
      <c r="J57" s="45" t="str">
        <f aca="false">IF($I57&lt;$D57,"LOW - BUY","OK")</f>
        <v>OK</v>
      </c>
    </row>
    <row r="58" customFormat="false" ht="15" hidden="false" customHeight="false" outlineLevel="0" collapsed="false">
      <c r="A58" s="35" t="s">
        <v>275</v>
      </c>
      <c r="B58" s="20" t="n">
        <v>0</v>
      </c>
      <c r="C58" s="35" t="s">
        <v>214</v>
      </c>
      <c r="D58" s="43" t="n">
        <v>3</v>
      </c>
      <c r="E58" s="44" t="n">
        <v>46210</v>
      </c>
      <c r="F58" s="43" t="s">
        <v>288</v>
      </c>
      <c r="G58" s="43"/>
      <c r="H58" s="45" t="n">
        <f aca="false">SUMIFS(Data!$I$3:$I$278,Data!$C$3:$C$278,$A58)</f>
        <v>0</v>
      </c>
      <c r="I58" s="45" t="n">
        <f aca="false">MAX(0,$B58-$H58)</f>
        <v>0</v>
      </c>
      <c r="J58" s="45" t="str">
        <f aca="false">IF($I58&lt;$D58,"LOW - BUY","OK")</f>
        <v>LOW - BUY</v>
      </c>
    </row>
    <row r="59" customFormat="false" ht="15" hidden="false" customHeight="false" outlineLevel="0" collapsed="false">
      <c r="A59" s="35" t="s">
        <v>261</v>
      </c>
      <c r="B59" s="20" t="n">
        <v>0</v>
      </c>
      <c r="C59" s="35" t="s">
        <v>231</v>
      </c>
      <c r="D59" s="43" t="n">
        <v>250</v>
      </c>
      <c r="E59" s="44" t="n">
        <v>46210</v>
      </c>
      <c r="F59" s="43" t="s">
        <v>288</v>
      </c>
      <c r="G59" s="43"/>
      <c r="H59" s="45" t="n">
        <f aca="false">SUMIFS(Data!$I$3:$I$278,Data!$C$3:$C$278,$A59)</f>
        <v>0</v>
      </c>
      <c r="I59" s="45" t="n">
        <f aca="false">MAX(0,$B59-$H59)</f>
        <v>0</v>
      </c>
      <c r="J59" s="45" t="str">
        <f aca="false">IF($I59&lt;$D59,"LOW - BUY","OK")</f>
        <v>LOW - BUY</v>
      </c>
    </row>
    <row r="60" customFormat="false" ht="15" hidden="false" customHeight="false" outlineLevel="0" collapsed="false">
      <c r="A60" s="35" t="s">
        <v>254</v>
      </c>
      <c r="B60" s="20" t="n">
        <v>6</v>
      </c>
      <c r="C60" s="35" t="s">
        <v>214</v>
      </c>
      <c r="D60" s="43" t="n">
        <v>3</v>
      </c>
      <c r="E60" s="44" t="n">
        <v>46210</v>
      </c>
      <c r="F60" s="43" t="s">
        <v>288</v>
      </c>
      <c r="G60" s="43"/>
      <c r="H60" s="45" t="n">
        <f aca="false">SUMIFS(Data!$I$3:$I$278,Data!$C$3:$C$278,$A60)</f>
        <v>0</v>
      </c>
      <c r="I60" s="45" t="n">
        <f aca="false">MAX(0,$B60-$H60)</f>
        <v>6</v>
      </c>
      <c r="J60" s="45" t="str">
        <f aca="false">IF($I60&lt;$D60,"LOW - BUY","OK")</f>
        <v>OK</v>
      </c>
    </row>
    <row r="61" customFormat="false" ht="15" hidden="false" customHeight="false" outlineLevel="0" collapsed="false">
      <c r="A61" s="35" t="s">
        <v>256</v>
      </c>
      <c r="B61" s="20" t="n">
        <v>30</v>
      </c>
      <c r="C61" s="35" t="s">
        <v>223</v>
      </c>
      <c r="D61" s="43" t="n">
        <v>4</v>
      </c>
      <c r="E61" s="44" t="n">
        <v>46210</v>
      </c>
      <c r="F61" s="43" t="s">
        <v>288</v>
      </c>
      <c r="G61" s="43"/>
      <c r="H61" s="45" t="n">
        <f aca="false">SUMIFS(Data!$I$3:$I$278,Data!$C$3:$C$278,$A61)</f>
        <v>0</v>
      </c>
      <c r="I61" s="45" t="n">
        <f aca="false">MAX(0,$B61-$H61)</f>
        <v>30</v>
      </c>
      <c r="J61" s="45" t="str">
        <f aca="false">IF($I61&lt;$D61,"LOW - BUY","OK")</f>
        <v>OK</v>
      </c>
    </row>
    <row r="62" customFormat="false" ht="15" hidden="false" customHeight="false" outlineLevel="0" collapsed="false">
      <c r="A62" s="35" t="s">
        <v>255</v>
      </c>
      <c r="B62" s="20" t="n">
        <v>5</v>
      </c>
      <c r="C62" s="35" t="s">
        <v>214</v>
      </c>
      <c r="D62" s="43" t="n">
        <v>2</v>
      </c>
      <c r="E62" s="44" t="n">
        <v>46210</v>
      </c>
      <c r="F62" s="43" t="s">
        <v>288</v>
      </c>
      <c r="G62" s="43"/>
      <c r="H62" s="45" t="n">
        <f aca="false">SUMIFS(Data!$I$3:$I$278,Data!$C$3:$C$278,$A62)</f>
        <v>0</v>
      </c>
      <c r="I62" s="45" t="n">
        <f aca="false">MAX(0,$B62-$H62)</f>
        <v>5</v>
      </c>
      <c r="J62" s="45" t="str">
        <f aca="false">IF($I62&lt;$D62,"LOW - BUY","OK")</f>
        <v>OK</v>
      </c>
    </row>
    <row r="63" customFormat="false" ht="15" hidden="false" customHeight="false" outlineLevel="0" collapsed="false">
      <c r="A63" s="35" t="s">
        <v>270</v>
      </c>
      <c r="B63" s="20" t="n">
        <v>20</v>
      </c>
      <c r="C63" s="35" t="s">
        <v>214</v>
      </c>
      <c r="D63" s="43" t="n">
        <v>4</v>
      </c>
      <c r="E63" s="44" t="n">
        <v>46210</v>
      </c>
      <c r="F63" s="43" t="s">
        <v>288</v>
      </c>
      <c r="G63" s="43"/>
      <c r="H63" s="45" t="n">
        <f aca="false">SUMIFS(Data!$I$3:$I$278,Data!$C$3:$C$278,$A63)</f>
        <v>0</v>
      </c>
      <c r="I63" s="45" t="n">
        <f aca="false">MAX(0,$B63-$H63)</f>
        <v>20</v>
      </c>
      <c r="J63" s="45" t="str">
        <f aca="false">IF($I63&lt;$D63,"LOW - BUY","OK")</f>
        <v>OK</v>
      </c>
    </row>
    <row r="64" customFormat="false" ht="15" hidden="false" customHeight="false" outlineLevel="0" collapsed="false">
      <c r="A64" s="35" t="s">
        <v>241</v>
      </c>
      <c r="B64" s="20" t="n">
        <v>500</v>
      </c>
      <c r="C64" s="35" t="s">
        <v>231</v>
      </c>
      <c r="D64" s="43" t="n">
        <v>250</v>
      </c>
      <c r="E64" s="44" t="n">
        <v>46210</v>
      </c>
      <c r="F64" s="43" t="s">
        <v>288</v>
      </c>
      <c r="G64" s="43"/>
      <c r="H64" s="45" t="n">
        <f aca="false">SUMIFS(Data!$I$3:$I$278,Data!$C$3:$C$278,$A64)</f>
        <v>0</v>
      </c>
      <c r="I64" s="45" t="n">
        <f aca="false">MAX(0,$B64-$H64)</f>
        <v>500</v>
      </c>
      <c r="J64" s="45" t="str">
        <f aca="false">IF($I64&lt;$D64,"LOW - BUY","OK")</f>
        <v>OK</v>
      </c>
    </row>
    <row r="65" customFormat="false" ht="15" hidden="false" customHeight="false" outlineLevel="0" collapsed="false">
      <c r="A65" s="35" t="s">
        <v>244</v>
      </c>
      <c r="B65" s="20" t="n">
        <v>250</v>
      </c>
      <c r="C65" s="35" t="s">
        <v>231</v>
      </c>
      <c r="D65" s="43" t="n">
        <v>250</v>
      </c>
      <c r="E65" s="44" t="n">
        <v>46210</v>
      </c>
      <c r="F65" s="43" t="s">
        <v>288</v>
      </c>
      <c r="G65" s="43"/>
      <c r="H65" s="45" t="n">
        <f aca="false">SUMIFS(Data!$I$3:$I$278,Data!$C$3:$C$278,$A65)</f>
        <v>0</v>
      </c>
      <c r="I65" s="45" t="n">
        <f aca="false">MAX(0,$B65-$H65)</f>
        <v>250</v>
      </c>
      <c r="J65" s="45" t="str">
        <f aca="false">IF($I65&lt;$D65,"LOW - BUY","OK")</f>
        <v>OK</v>
      </c>
    </row>
    <row r="66" customFormat="false" ht="15" hidden="false" customHeight="false" outlineLevel="0" collapsed="false">
      <c r="A66" s="35" t="s">
        <v>245</v>
      </c>
      <c r="B66" s="20" t="n">
        <v>0</v>
      </c>
      <c r="C66" s="35" t="s">
        <v>231</v>
      </c>
      <c r="D66" s="43" t="n">
        <v>250</v>
      </c>
      <c r="E66" s="44" t="n">
        <v>46210</v>
      </c>
      <c r="F66" s="43" t="s">
        <v>288</v>
      </c>
      <c r="G66" s="43"/>
      <c r="H66" s="45" t="n">
        <f aca="false">SUMIFS(Data!$I$3:$I$278,Data!$C$3:$C$278,$A66)</f>
        <v>0</v>
      </c>
      <c r="I66" s="45" t="n">
        <f aca="false">MAX(0,$B66-$H66)</f>
        <v>0</v>
      </c>
      <c r="J66" s="45" t="str">
        <f aca="false">IF($I66&lt;$D66,"LOW - BUY","OK")</f>
        <v>LOW - BUY</v>
      </c>
    </row>
    <row r="67" customFormat="false" ht="15" hidden="false" customHeight="false" outlineLevel="0" collapsed="false">
      <c r="A67" s="35" t="s">
        <v>272</v>
      </c>
      <c r="B67" s="20" t="n">
        <v>300</v>
      </c>
      <c r="C67" s="35" t="s">
        <v>231</v>
      </c>
      <c r="D67" s="43" t="n">
        <v>250</v>
      </c>
      <c r="E67" s="44" t="n">
        <v>46210</v>
      </c>
      <c r="F67" s="43" t="s">
        <v>288</v>
      </c>
      <c r="G67" s="43"/>
      <c r="H67" s="45" t="n">
        <f aca="false">SUMIFS(Data!$I$3:$I$278,Data!$C$3:$C$278,$A67)</f>
        <v>0</v>
      </c>
      <c r="I67" s="45" t="n">
        <f aca="false">MAX(0,$B67-$H67)</f>
        <v>300</v>
      </c>
      <c r="J67" s="45" t="str">
        <f aca="false">IF($I67&lt;$D67,"LOW - BUY","OK")</f>
        <v>OK</v>
      </c>
    </row>
    <row r="68" customFormat="false" ht="15" hidden="false" customHeight="false" outlineLevel="0" collapsed="false">
      <c r="A68" s="35" t="s">
        <v>230</v>
      </c>
      <c r="B68" s="20" t="n">
        <v>0</v>
      </c>
      <c r="C68" s="35" t="s">
        <v>231</v>
      </c>
      <c r="D68" s="43" t="n">
        <v>250</v>
      </c>
      <c r="E68" s="44" t="n">
        <v>46210</v>
      </c>
      <c r="F68" s="43" t="s">
        <v>288</v>
      </c>
      <c r="G68" s="43"/>
      <c r="H68" s="45" t="n">
        <f aca="false">SUMIFS(Data!$I$3:$I$278,Data!$C$3:$C$278,$A68)</f>
        <v>0</v>
      </c>
      <c r="I68" s="45" t="n">
        <f aca="false">MAX(0,$B68-$H68)</f>
        <v>0</v>
      </c>
      <c r="J68" s="45" t="str">
        <f aca="false">IF($I68&lt;$D68,"LOW - BUY","OK")</f>
        <v>LOW - BUY</v>
      </c>
    </row>
  </sheetData>
  <mergeCells count="3">
    <mergeCell ref="C3:E3"/>
    <mergeCell ref="F3:I3"/>
    <mergeCell ref="C4:J4"/>
  </mergeCells>
  <conditionalFormatting sqref="J7:J68">
    <cfRule type="cellIs" priority="2" operator="equal" aboveAverage="0" equalAverage="0" bottom="0" percent="0" rank="0" text="" dxfId="0">
      <formula>"LOW - BUY"</formula>
    </cfRule>
  </conditionalFormatting>
  <conditionalFormatting sqref="A7:A68">
    <cfRule type="expression" priority="3" aboveAverage="0" equalAverage="0" bottom="0" percent="0" rank="0" text="" dxfId="1">
      <formula>$J7="LOW - BUY"</formula>
    </cfRule>
  </conditionalFormatting>
  <dataValidations count="2">
    <dataValidation allowBlank="true" errorStyle="stop" operator="between" showDropDown="false" showErrorMessage="false" showInputMessage="false" sqref="C3" type="list">
      <formula1>Lists!$B$2:$B$23</formula1>
      <formula2>0</formula2>
    </dataValidation>
    <dataValidation allowBlank="true" errorStyle="stop" operator="between" showDropDown="false" showErrorMessage="false" showInputMessage="false" sqref="F7:F68" type="list">
      <formula1>"Typed,Photo"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6292"/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23" t="s">
        <v>289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4" t="s">
        <v>290</v>
      </c>
    </row>
    <row r="3" customFormat="false" ht="15" hidden="false" customHeight="false" outlineLevel="0" collapsed="false">
      <c r="A3" s="46" t="s">
        <v>6</v>
      </c>
      <c r="C3" s="47" t="n">
        <f aca="false">COUNTIF($H$8:$H$69,"BUY")</f>
        <v>20</v>
      </c>
    </row>
    <row r="4" customFormat="false" ht="27.75" hidden="false" customHeight="true" outlineLevel="0" collapsed="false">
      <c r="A4" s="48" t="s">
        <v>291</v>
      </c>
      <c r="C4" s="42" t="str">
        <f aca="false" t="array" ref="C4:C4">_xlfn.TEXTJOIN(", ",TRUE(),IF($H$8:$H$69="BUY",$B$8:$B$69,""))</f>
        <v>Bitter_Gourd_Karela, Cabbage, Cauliflower_Gobi, Lemon, Mint, Mustard_Greens_Saag, Okra_Bhindi, Spring_Onion, Beef_Boneless, Beef_Shank_with_Bones, Fennel_Seeds, Kashmiri_Red_Chilli_Powder, Nihari_Masala, Chilli_Garlic_Sauce, Fried_Onion, Ginger_Garlic_Paste, Maize_Flour_Makai, Pasta, Masoor_Daal, Red_Kidney_Beans</v>
      </c>
      <c r="D4" s="42"/>
      <c r="E4" s="42"/>
      <c r="F4" s="42"/>
      <c r="G4" s="42"/>
      <c r="H4" s="42"/>
      <c r="I4" s="42"/>
    </row>
    <row r="5" customFormat="false" ht="25.5" hidden="false" customHeight="true" outlineLevel="0" collapsed="false">
      <c r="A5" s="25" t="s">
        <v>292</v>
      </c>
      <c r="C5" s="26"/>
      <c r="D5" s="26"/>
      <c r="E5" s="49" t="str">
        <f aca="false" t="array" ref="E5:E5">IF($C$5="","pick a dish and this lists exactly what to buy for it",IF(SUMPRODUCT((Data!$B$3:$B$278=$C$5)*(Data!$M$3:$M$278&gt;0))=0,"Nothing needed - you have it all!",_xlfn.TEXTJOIN(", ",TRUE(),IF((Data!$B$3:$B$278=$C$5)*(Data!$M$3:$M$278&gt;0),Data!$C$3:$C$278&amp;" ("&amp;TEXT(Data!$M$3:$M$278,"0.##")&amp;" "&amp;Data!$E$3:$E$278&amp;")",""))))</f>
        <v>pick a dish and this lists exactly what to buy for it</v>
      </c>
      <c r="F5" s="49"/>
      <c r="G5" s="49"/>
      <c r="H5" s="49"/>
      <c r="I5" s="49"/>
    </row>
    <row r="7" customFormat="false" ht="15" hidden="false" customHeight="false" outlineLevel="0" collapsed="false">
      <c r="A7" s="10" t="s">
        <v>293</v>
      </c>
      <c r="B7" s="10" t="s">
        <v>194</v>
      </c>
      <c r="C7" s="10" t="s">
        <v>294</v>
      </c>
      <c r="D7" s="10" t="s">
        <v>196</v>
      </c>
      <c r="E7" s="10" t="s">
        <v>295</v>
      </c>
      <c r="F7" s="10" t="s">
        <v>296</v>
      </c>
      <c r="G7" s="10" t="s">
        <v>281</v>
      </c>
      <c r="H7" s="10" t="s">
        <v>297</v>
      </c>
      <c r="I7" s="10" t="s">
        <v>298</v>
      </c>
    </row>
    <row r="8" customFormat="false" ht="15" hidden="false" customHeight="false" outlineLevel="0" collapsed="false">
      <c r="A8" s="50" t="s">
        <v>299</v>
      </c>
      <c r="B8" s="51" t="s">
        <v>265</v>
      </c>
      <c r="C8" s="52" t="n">
        <f aca="false">SUMIFS(Data!$D$3:$D$278,Data!$C$3:$C$278,$B8)</f>
        <v>500</v>
      </c>
      <c r="D8" s="51" t="s">
        <v>231</v>
      </c>
      <c r="E8" s="51" t="s">
        <v>300</v>
      </c>
      <c r="F8" s="52" t="n">
        <f aca="false">INDEX(Pantry!$I$7:$I$68,MATCH($B8,Pantry!$A$7:$A$68,0))</f>
        <v>0</v>
      </c>
      <c r="G8" s="52" t="n">
        <f aca="false">INDEX(Pantry!$D$7:$D$68,MATCH($B8,Pantry!$A$7:$A$68,0))</f>
        <v>250</v>
      </c>
      <c r="H8" s="45" t="str">
        <f aca="false">IF($F8&lt;$G8,"BUY","OK")</f>
        <v>BUY</v>
      </c>
      <c r="I8" s="53" t="s">
        <v>301</v>
      </c>
    </row>
    <row r="9" customFormat="false" ht="15" hidden="false" customHeight="false" outlineLevel="0" collapsed="false">
      <c r="A9" s="50" t="s">
        <v>299</v>
      </c>
      <c r="B9" s="51" t="s">
        <v>260</v>
      </c>
      <c r="C9" s="52" t="n">
        <f aca="false">SUMIFS(Data!$D$3:$D$278,Data!$C$3:$C$278,$B9)</f>
        <v>200</v>
      </c>
      <c r="D9" s="51" t="s">
        <v>231</v>
      </c>
      <c r="E9" s="51" t="s">
        <v>300</v>
      </c>
      <c r="F9" s="52" t="n">
        <f aca="false">INDEX(Pantry!$I$7:$I$68,MATCH($B9,Pantry!$A$7:$A$68,0))</f>
        <v>0</v>
      </c>
      <c r="G9" s="52" t="n">
        <f aca="false">INDEX(Pantry!$D$7:$D$68,MATCH($B9,Pantry!$A$7:$A$68,0))</f>
        <v>100</v>
      </c>
      <c r="H9" s="45" t="str">
        <f aca="false">IF($F9&lt;$G9,"BUY","OK")</f>
        <v>BUY</v>
      </c>
      <c r="I9" s="53" t="s">
        <v>301</v>
      </c>
    </row>
    <row r="10" customFormat="false" ht="15" hidden="false" customHeight="false" outlineLevel="0" collapsed="false">
      <c r="A10" s="50" t="s">
        <v>299</v>
      </c>
      <c r="B10" s="51" t="s">
        <v>257</v>
      </c>
      <c r="C10" s="52" t="n">
        <f aca="false">SUMIFS(Data!$D$3:$D$278,Data!$C$3:$C$278,$B10)</f>
        <v>3</v>
      </c>
      <c r="D10" s="51" t="s">
        <v>209</v>
      </c>
      <c r="E10" s="51" t="s">
        <v>300</v>
      </c>
      <c r="F10" s="52" t="n">
        <f aca="false">INDEX(Pantry!$I$7:$I$68,MATCH($B10,Pantry!$A$7:$A$68,0))</f>
        <v>2</v>
      </c>
      <c r="G10" s="52" t="n">
        <f aca="false">INDEX(Pantry!$D$7:$D$68,MATCH($B10,Pantry!$A$7:$A$68,0))</f>
        <v>1</v>
      </c>
      <c r="H10" s="45" t="str">
        <f aca="false">IF($F10&lt;$G10,"BUY","OK")</f>
        <v>OK</v>
      </c>
      <c r="I10" s="53" t="s">
        <v>301</v>
      </c>
    </row>
    <row r="11" customFormat="false" ht="15" hidden="false" customHeight="false" outlineLevel="0" collapsed="false">
      <c r="A11" s="50" t="s">
        <v>299</v>
      </c>
      <c r="B11" s="51" t="s">
        <v>259</v>
      </c>
      <c r="C11" s="52" t="n">
        <f aca="false">SUMIFS(Data!$D$3:$D$278,Data!$C$3:$C$278,$B11)</f>
        <v>2</v>
      </c>
      <c r="D11" s="51" t="s">
        <v>209</v>
      </c>
      <c r="E11" s="51" t="s">
        <v>300</v>
      </c>
      <c r="F11" s="52" t="n">
        <f aca="false">INDEX(Pantry!$I$7:$I$68,MATCH($B11,Pantry!$A$7:$A$68,0))</f>
        <v>3</v>
      </c>
      <c r="G11" s="52" t="n">
        <f aca="false">INDEX(Pantry!$D$7:$D$68,MATCH($B11,Pantry!$A$7:$A$68,0))</f>
        <v>2</v>
      </c>
      <c r="H11" s="45" t="str">
        <f aca="false">IF($F11&lt;$G11,"BUY","OK")</f>
        <v>OK</v>
      </c>
      <c r="I11" s="53" t="s">
        <v>301</v>
      </c>
    </row>
    <row r="12" customFormat="false" ht="15" hidden="false" customHeight="false" outlineLevel="0" collapsed="false">
      <c r="A12" s="50" t="s">
        <v>299</v>
      </c>
      <c r="B12" s="51" t="s">
        <v>264</v>
      </c>
      <c r="C12" s="52" t="n">
        <f aca="false">SUMIFS(Data!$D$3:$D$278,Data!$C$3:$C$278,$B12)</f>
        <v>1</v>
      </c>
      <c r="D12" s="51" t="s">
        <v>209</v>
      </c>
      <c r="E12" s="51" t="s">
        <v>300</v>
      </c>
      <c r="F12" s="52" t="n">
        <f aca="false">INDEX(Pantry!$I$7:$I$68,MATCH($B12,Pantry!$A$7:$A$68,0))</f>
        <v>0</v>
      </c>
      <c r="G12" s="52" t="n">
        <f aca="false">INDEX(Pantry!$D$7:$D$68,MATCH($B12,Pantry!$A$7:$A$68,0))</f>
        <v>1</v>
      </c>
      <c r="H12" s="45" t="str">
        <f aca="false">IF($F12&lt;$G12,"BUY","OK")</f>
        <v>BUY</v>
      </c>
      <c r="I12" s="53" t="s">
        <v>301</v>
      </c>
    </row>
    <row r="13" customFormat="false" ht="15" hidden="false" customHeight="false" outlineLevel="0" collapsed="false">
      <c r="A13" s="50" t="s">
        <v>299</v>
      </c>
      <c r="B13" s="51" t="s">
        <v>242</v>
      </c>
      <c r="C13" s="52" t="n">
        <f aca="false">SUMIFS(Data!$D$3:$D$278,Data!$C$3:$C$278,$B13)</f>
        <v>6</v>
      </c>
      <c r="D13" s="51" t="s">
        <v>243</v>
      </c>
      <c r="E13" s="51" t="s">
        <v>300</v>
      </c>
      <c r="F13" s="52" t="n">
        <f aca="false">INDEX(Pantry!$I$7:$I$68,MATCH($B13,Pantry!$A$7:$A$68,0))</f>
        <v>4</v>
      </c>
      <c r="G13" s="52" t="n">
        <f aca="false">INDEX(Pantry!$D$7:$D$68,MATCH($B13,Pantry!$A$7:$A$68,0))</f>
        <v>2</v>
      </c>
      <c r="H13" s="45" t="str">
        <f aca="false">IF($F13&lt;$G13,"BUY","OK")</f>
        <v>OK</v>
      </c>
      <c r="I13" s="53" t="s">
        <v>301</v>
      </c>
    </row>
    <row r="14" customFormat="false" ht="15" hidden="false" customHeight="false" outlineLevel="0" collapsed="false">
      <c r="A14" s="50" t="s">
        <v>299</v>
      </c>
      <c r="B14" s="51" t="s">
        <v>219</v>
      </c>
      <c r="C14" s="52" t="n">
        <f aca="false">SUMIFS(Data!$D$3:$D$278,Data!$C$3:$C$278,$B14)</f>
        <v>6.5</v>
      </c>
      <c r="D14" s="51" t="s">
        <v>218</v>
      </c>
      <c r="E14" s="51" t="s">
        <v>300</v>
      </c>
      <c r="F14" s="52" t="n">
        <f aca="false">INDEX(Pantry!$I$7:$I$68,MATCH($B14,Pantry!$A$7:$A$68,0))</f>
        <v>2</v>
      </c>
      <c r="G14" s="52" t="n">
        <f aca="false">INDEX(Pantry!$D$7:$D$68,MATCH($B14,Pantry!$A$7:$A$68,0))</f>
        <v>1</v>
      </c>
      <c r="H14" s="45" t="str">
        <f aca="false">IF($F14&lt;$G14,"BUY","OK")</f>
        <v>OK</v>
      </c>
      <c r="I14" s="53" t="s">
        <v>301</v>
      </c>
    </row>
    <row r="15" customFormat="false" ht="15" hidden="false" customHeight="false" outlineLevel="0" collapsed="false">
      <c r="A15" s="50" t="s">
        <v>299</v>
      </c>
      <c r="B15" s="51" t="s">
        <v>236</v>
      </c>
      <c r="C15" s="52" t="n">
        <f aca="false">SUMIFS(Data!$D$3:$D$278,Data!$C$3:$C$278,$B15)</f>
        <v>9</v>
      </c>
      <c r="D15" s="51" t="s">
        <v>237</v>
      </c>
      <c r="E15" s="51" t="s">
        <v>300</v>
      </c>
      <c r="F15" s="52" t="n">
        <f aca="false">INDEX(Pantry!$I$7:$I$68,MATCH($B15,Pantry!$A$7:$A$68,0))</f>
        <v>3</v>
      </c>
      <c r="G15" s="52" t="n">
        <f aca="false">INDEX(Pantry!$D$7:$D$68,MATCH($B15,Pantry!$A$7:$A$68,0))</f>
        <v>2</v>
      </c>
      <c r="H15" s="45" t="str">
        <f aca="false">IF($F15&lt;$G15,"BUY","OK")</f>
        <v>OK</v>
      </c>
      <c r="I15" s="53" t="s">
        <v>301</v>
      </c>
    </row>
    <row r="16" customFormat="false" ht="15" hidden="false" customHeight="false" outlineLevel="0" collapsed="false">
      <c r="A16" s="50" t="s">
        <v>299</v>
      </c>
      <c r="B16" s="51" t="s">
        <v>220</v>
      </c>
      <c r="C16" s="52" t="n">
        <f aca="false">SUMIFS(Data!$D$3:$D$278,Data!$C$3:$C$278,$B16)</f>
        <v>54</v>
      </c>
      <c r="D16" s="51" t="s">
        <v>209</v>
      </c>
      <c r="E16" s="51" t="s">
        <v>300</v>
      </c>
      <c r="F16" s="52" t="n">
        <f aca="false">INDEX(Pantry!$I$7:$I$68,MATCH($B16,Pantry!$A$7:$A$68,0))</f>
        <v>10</v>
      </c>
      <c r="G16" s="52" t="n">
        <f aca="false">INDEX(Pantry!$D$7:$D$68,MATCH($B16,Pantry!$A$7:$A$68,0))</f>
        <v>5</v>
      </c>
      <c r="H16" s="45" t="str">
        <f aca="false">IF($F16&lt;$G16,"BUY","OK")</f>
        <v>OK</v>
      </c>
      <c r="I16" s="53" t="s">
        <v>301</v>
      </c>
    </row>
    <row r="17" customFormat="false" ht="15" hidden="false" customHeight="false" outlineLevel="0" collapsed="false">
      <c r="A17" s="50" t="s">
        <v>299</v>
      </c>
      <c r="B17" s="51" t="s">
        <v>221</v>
      </c>
      <c r="C17" s="52" t="n">
        <f aca="false">SUMIFS(Data!$D$3:$D$278,Data!$C$3:$C$278,$B17)</f>
        <v>5</v>
      </c>
      <c r="D17" s="51" t="s">
        <v>209</v>
      </c>
      <c r="E17" s="51" t="s">
        <v>300</v>
      </c>
      <c r="F17" s="52" t="n">
        <f aca="false">INDEX(Pantry!$I$7:$I$68,MATCH($B17,Pantry!$A$7:$A$68,0))</f>
        <v>1</v>
      </c>
      <c r="G17" s="52" t="n">
        <f aca="false">INDEX(Pantry!$D$7:$D$68,MATCH($B17,Pantry!$A$7:$A$68,0))</f>
        <v>2</v>
      </c>
      <c r="H17" s="45" t="str">
        <f aca="false">IF($F17&lt;$G17,"BUY","OK")</f>
        <v>BUY</v>
      </c>
      <c r="I17" s="53" t="s">
        <v>301</v>
      </c>
    </row>
    <row r="18" customFormat="false" ht="15" hidden="false" customHeight="false" outlineLevel="0" collapsed="false">
      <c r="A18" s="50" t="s">
        <v>299</v>
      </c>
      <c r="B18" s="51" t="s">
        <v>217</v>
      </c>
      <c r="C18" s="52" t="n">
        <f aca="false">SUMIFS(Data!$D$3:$D$278,Data!$C$3:$C$278,$B18)</f>
        <v>1.5</v>
      </c>
      <c r="D18" s="51" t="s">
        <v>218</v>
      </c>
      <c r="E18" s="51" t="s">
        <v>300</v>
      </c>
      <c r="F18" s="52" t="n">
        <f aca="false">INDEX(Pantry!$I$7:$I$68,MATCH($B18,Pantry!$A$7:$A$68,0))</f>
        <v>0</v>
      </c>
      <c r="G18" s="52" t="n">
        <f aca="false">INDEX(Pantry!$D$7:$D$68,MATCH($B18,Pantry!$A$7:$A$68,0))</f>
        <v>1</v>
      </c>
      <c r="H18" s="45" t="str">
        <f aca="false">IF($F18&lt;$G18,"BUY","OK")</f>
        <v>BUY</v>
      </c>
      <c r="I18" s="53" t="s">
        <v>301</v>
      </c>
    </row>
    <row r="19" customFormat="false" ht="15" hidden="false" customHeight="false" outlineLevel="0" collapsed="false">
      <c r="A19" s="50" t="s">
        <v>299</v>
      </c>
      <c r="B19" s="51" t="s">
        <v>273</v>
      </c>
      <c r="C19" s="52" t="n">
        <f aca="false">SUMIFS(Data!$D$3:$D$278,Data!$C$3:$C$278,$B19)</f>
        <v>3</v>
      </c>
      <c r="D19" s="51" t="s">
        <v>218</v>
      </c>
      <c r="E19" s="51" t="s">
        <v>300</v>
      </c>
      <c r="F19" s="52" t="n">
        <f aca="false">INDEX(Pantry!$I$7:$I$68,MATCH($B19,Pantry!$A$7:$A$68,0))</f>
        <v>0</v>
      </c>
      <c r="G19" s="52" t="n">
        <f aca="false">INDEX(Pantry!$D$7:$D$68,MATCH($B19,Pantry!$A$7:$A$68,0))</f>
        <v>2</v>
      </c>
      <c r="H19" s="45" t="str">
        <f aca="false">IF($F19&lt;$G19,"BUY","OK")</f>
        <v>BUY</v>
      </c>
      <c r="I19" s="53" t="s">
        <v>301</v>
      </c>
    </row>
    <row r="20" customFormat="false" ht="15" hidden="false" customHeight="false" outlineLevel="0" collapsed="false">
      <c r="A20" s="50" t="s">
        <v>299</v>
      </c>
      <c r="B20" s="51" t="s">
        <v>263</v>
      </c>
      <c r="C20" s="52" t="n">
        <f aca="false">SUMIFS(Data!$D$3:$D$278,Data!$C$3:$C$278,$B20)</f>
        <v>500</v>
      </c>
      <c r="D20" s="51" t="s">
        <v>231</v>
      </c>
      <c r="E20" s="51" t="s">
        <v>300</v>
      </c>
      <c r="F20" s="52" t="n">
        <f aca="false">INDEX(Pantry!$I$7:$I$68,MATCH($B20,Pantry!$A$7:$A$68,0))</f>
        <v>0</v>
      </c>
      <c r="G20" s="52" t="n">
        <f aca="false">INDEX(Pantry!$D$7:$D$68,MATCH($B20,Pantry!$A$7:$A$68,0))</f>
        <v>250</v>
      </c>
      <c r="H20" s="45" t="str">
        <f aca="false">IF($F20&lt;$G20,"BUY","OK")</f>
        <v>BUY</v>
      </c>
      <c r="I20" s="53" t="s">
        <v>301</v>
      </c>
    </row>
    <row r="21" customFormat="false" ht="15" hidden="false" customHeight="false" outlineLevel="0" collapsed="false">
      <c r="A21" s="50" t="s">
        <v>299</v>
      </c>
      <c r="B21" s="51" t="s">
        <v>208</v>
      </c>
      <c r="C21" s="52" t="n">
        <f aca="false">SUMIFS(Data!$D$3:$D$278,Data!$C$3:$C$278,$B21)</f>
        <v>31</v>
      </c>
      <c r="D21" s="51" t="s">
        <v>209</v>
      </c>
      <c r="E21" s="51" t="s">
        <v>300</v>
      </c>
      <c r="F21" s="52" t="n">
        <f aca="false">INDEX(Pantry!$I$7:$I$68,MATCH($B21,Pantry!$A$7:$A$68,0))</f>
        <v>6</v>
      </c>
      <c r="G21" s="52" t="n">
        <f aca="false">INDEX(Pantry!$D$7:$D$68,MATCH($B21,Pantry!$A$7:$A$68,0))</f>
        <v>2</v>
      </c>
      <c r="H21" s="45" t="str">
        <f aca="false">IF($F21&lt;$G21,"BUY","OK")</f>
        <v>OK</v>
      </c>
      <c r="I21" s="53" t="s">
        <v>301</v>
      </c>
    </row>
    <row r="22" customFormat="false" ht="15" hidden="false" customHeight="false" outlineLevel="0" collapsed="false">
      <c r="A22" s="50" t="s">
        <v>299</v>
      </c>
      <c r="B22" s="51" t="s">
        <v>247</v>
      </c>
      <c r="C22" s="52" t="n">
        <f aca="false">SUMIFS(Data!$D$3:$D$278,Data!$C$3:$C$278,$B22)</f>
        <v>16</v>
      </c>
      <c r="D22" s="51" t="s">
        <v>209</v>
      </c>
      <c r="E22" s="51" t="s">
        <v>300</v>
      </c>
      <c r="F22" s="52" t="n">
        <f aca="false">INDEX(Pantry!$I$7:$I$68,MATCH($B22,Pantry!$A$7:$A$68,0))</f>
        <v>5</v>
      </c>
      <c r="G22" s="52" t="n">
        <f aca="false">INDEX(Pantry!$D$7:$D$68,MATCH($B22,Pantry!$A$7:$A$68,0))</f>
        <v>3</v>
      </c>
      <c r="H22" s="45" t="str">
        <f aca="false">IF($F22&lt;$G22,"BUY","OK")</f>
        <v>OK</v>
      </c>
      <c r="I22" s="53" t="s">
        <v>301</v>
      </c>
    </row>
    <row r="23" customFormat="false" ht="15" hidden="false" customHeight="false" outlineLevel="0" collapsed="false">
      <c r="A23" s="50" t="s">
        <v>299</v>
      </c>
      <c r="B23" s="51" t="s">
        <v>274</v>
      </c>
      <c r="C23" s="52" t="n">
        <f aca="false">SUMIFS(Data!$D$3:$D$278,Data!$C$3:$C$278,$B23)</f>
        <v>2</v>
      </c>
      <c r="D23" s="51" t="s">
        <v>218</v>
      </c>
      <c r="E23" s="51" t="s">
        <v>300</v>
      </c>
      <c r="F23" s="52" t="n">
        <f aca="false">INDEX(Pantry!$I$7:$I$68,MATCH($B23,Pantry!$A$7:$A$68,0))</f>
        <v>1</v>
      </c>
      <c r="G23" s="52" t="n">
        <f aca="false">INDEX(Pantry!$D$7:$D$68,MATCH($B23,Pantry!$A$7:$A$68,0))</f>
        <v>1</v>
      </c>
      <c r="H23" s="45" t="str">
        <f aca="false">IF($F23&lt;$G23,"BUY","OK")</f>
        <v>OK</v>
      </c>
      <c r="I23" s="53" t="s">
        <v>301</v>
      </c>
    </row>
    <row r="24" customFormat="false" ht="15" hidden="false" customHeight="false" outlineLevel="0" collapsed="false">
      <c r="A24" s="50" t="s">
        <v>299</v>
      </c>
      <c r="B24" s="51" t="s">
        <v>258</v>
      </c>
      <c r="C24" s="52" t="n">
        <f aca="false">SUMIFS(Data!$D$3:$D$278,Data!$C$3:$C$278,$B24)</f>
        <v>7</v>
      </c>
      <c r="D24" s="51" t="s">
        <v>209</v>
      </c>
      <c r="E24" s="51" t="s">
        <v>300</v>
      </c>
      <c r="F24" s="52" t="n">
        <f aca="false">INDEX(Pantry!$I$7:$I$68,MATCH($B24,Pantry!$A$7:$A$68,0))</f>
        <v>0</v>
      </c>
      <c r="G24" s="52" t="n">
        <f aca="false">INDEX(Pantry!$D$7:$D$68,MATCH($B24,Pantry!$A$7:$A$68,0))</f>
        <v>2</v>
      </c>
      <c r="H24" s="45" t="str">
        <f aca="false">IF($F24&lt;$G24,"BUY","OK")</f>
        <v>BUY</v>
      </c>
      <c r="I24" s="53" t="s">
        <v>301</v>
      </c>
    </row>
    <row r="25" customFormat="false" ht="15" hidden="false" customHeight="false" outlineLevel="0" collapsed="false">
      <c r="A25" s="50" t="s">
        <v>299</v>
      </c>
      <c r="B25" s="51" t="s">
        <v>210</v>
      </c>
      <c r="C25" s="52" t="n">
        <f aca="false">SUMIFS(Data!$D$3:$D$278,Data!$C$3:$C$278,$B25)</f>
        <v>28</v>
      </c>
      <c r="D25" s="51" t="s">
        <v>209</v>
      </c>
      <c r="E25" s="51" t="s">
        <v>300</v>
      </c>
      <c r="F25" s="52" t="n">
        <f aca="false">INDEX(Pantry!$I$7:$I$68,MATCH($B25,Pantry!$A$7:$A$68,0))</f>
        <v>4</v>
      </c>
      <c r="G25" s="52" t="n">
        <f aca="false">INDEX(Pantry!$D$7:$D$68,MATCH($B25,Pantry!$A$7:$A$68,0))</f>
        <v>3</v>
      </c>
      <c r="H25" s="45" t="str">
        <f aca="false">IF($F25&lt;$G25,"BUY","OK")</f>
        <v>OK</v>
      </c>
      <c r="I25" s="53" t="s">
        <v>301</v>
      </c>
    </row>
    <row r="26" customFormat="false" ht="15" hidden="false" customHeight="false" outlineLevel="0" collapsed="false">
      <c r="A26" s="50" t="s">
        <v>299</v>
      </c>
      <c r="B26" s="54" t="s">
        <v>246</v>
      </c>
      <c r="C26" s="55" t="n">
        <f aca="false">SUMIFS(Data!$D$3:$D$278,Data!$C$3:$C$278,$B26)</f>
        <v>0.75</v>
      </c>
      <c r="D26" s="54" t="s">
        <v>206</v>
      </c>
      <c r="E26" s="54" t="s">
        <v>302</v>
      </c>
      <c r="F26" s="55" t="n">
        <f aca="false">INDEX(Pantry!$I$7:$I$68,MATCH($B26,Pantry!$A$7:$A$68,0))</f>
        <v>0</v>
      </c>
      <c r="G26" s="55" t="n">
        <f aca="false">INDEX(Pantry!$D$7:$D$68,MATCH($B26,Pantry!$A$7:$A$68,0))</f>
        <v>0.5</v>
      </c>
      <c r="H26" s="45" t="str">
        <f aca="false">IF($F26&lt;$G26,"BUY","OK")</f>
        <v>BUY</v>
      </c>
      <c r="I26" s="53" t="s">
        <v>303</v>
      </c>
    </row>
    <row r="27" customFormat="false" ht="15" hidden="false" customHeight="false" outlineLevel="0" collapsed="false">
      <c r="A27" s="50" t="s">
        <v>299</v>
      </c>
      <c r="B27" s="54" t="s">
        <v>249</v>
      </c>
      <c r="C27" s="55" t="n">
        <f aca="false">SUMIFS(Data!$D$3:$D$278,Data!$C$3:$C$278,$B27)</f>
        <v>1.75</v>
      </c>
      <c r="D27" s="54" t="s">
        <v>206</v>
      </c>
      <c r="E27" s="54" t="s">
        <v>302</v>
      </c>
      <c r="F27" s="55" t="n">
        <f aca="false">INDEX(Pantry!$I$7:$I$68,MATCH($B27,Pantry!$A$7:$A$68,0))</f>
        <v>1</v>
      </c>
      <c r="G27" s="55" t="n">
        <f aca="false">INDEX(Pantry!$D$7:$D$68,MATCH($B27,Pantry!$A$7:$A$68,0))</f>
        <v>0.5</v>
      </c>
      <c r="H27" s="45" t="str">
        <f aca="false">IF($F27&lt;$G27,"BUY","OK")</f>
        <v>OK</v>
      </c>
      <c r="I27" s="53" t="s">
        <v>303</v>
      </c>
    </row>
    <row r="28" customFormat="false" ht="15" hidden="false" customHeight="false" outlineLevel="0" collapsed="false">
      <c r="A28" s="50" t="s">
        <v>299</v>
      </c>
      <c r="B28" s="54" t="s">
        <v>268</v>
      </c>
      <c r="C28" s="55" t="n">
        <f aca="false">SUMIFS(Data!$D$3:$D$278,Data!$C$3:$C$278,$B28)</f>
        <v>1.5</v>
      </c>
      <c r="D28" s="54" t="s">
        <v>206</v>
      </c>
      <c r="E28" s="54" t="s">
        <v>302</v>
      </c>
      <c r="F28" s="55" t="n">
        <f aca="false">INDEX(Pantry!$I$7:$I$68,MATCH($B28,Pantry!$A$7:$A$68,0))</f>
        <v>0</v>
      </c>
      <c r="G28" s="55" t="n">
        <f aca="false">INDEX(Pantry!$D$7:$D$68,MATCH($B28,Pantry!$A$7:$A$68,0))</f>
        <v>1</v>
      </c>
      <c r="H28" s="45" t="str">
        <f aca="false">IF($F28&lt;$G28,"BUY","OK")</f>
        <v>BUY</v>
      </c>
      <c r="I28" s="53" t="s">
        <v>303</v>
      </c>
    </row>
    <row r="29" customFormat="false" ht="15" hidden="false" customHeight="false" outlineLevel="0" collapsed="false">
      <c r="A29" s="50" t="s">
        <v>299</v>
      </c>
      <c r="B29" s="54" t="s">
        <v>205</v>
      </c>
      <c r="C29" s="55" t="n">
        <f aca="false">SUMIFS(Data!$D$3:$D$278,Data!$C$3:$C$278,$B29)</f>
        <v>5.25</v>
      </c>
      <c r="D29" s="54" t="s">
        <v>206</v>
      </c>
      <c r="E29" s="54" t="s">
        <v>302</v>
      </c>
      <c r="F29" s="55" t="n">
        <f aca="false">INDEX(Pantry!$I$7:$I$68,MATCH($B29,Pantry!$A$7:$A$68,0))</f>
        <v>1</v>
      </c>
      <c r="G29" s="55" t="n">
        <f aca="false">INDEX(Pantry!$D$7:$D$68,MATCH($B29,Pantry!$A$7:$A$68,0))</f>
        <v>1</v>
      </c>
      <c r="H29" s="45" t="str">
        <f aca="false">IF($F29&lt;$G29,"BUY","OK")</f>
        <v>OK</v>
      </c>
      <c r="I29" s="53" t="s">
        <v>303</v>
      </c>
    </row>
    <row r="30" customFormat="false" ht="15" hidden="false" customHeight="false" outlineLevel="0" collapsed="false">
      <c r="A30" s="50" t="s">
        <v>299</v>
      </c>
      <c r="B30" s="56" t="s">
        <v>239</v>
      </c>
      <c r="C30" s="57" t="n">
        <f aca="false">SUMIFS(Data!$D$3:$D$278,Data!$C$3:$C$278,$B30)</f>
        <v>8</v>
      </c>
      <c r="D30" s="56" t="s">
        <v>214</v>
      </c>
      <c r="E30" s="56" t="s">
        <v>304</v>
      </c>
      <c r="F30" s="57" t="n">
        <f aca="false">INDEX(Pantry!$I$7:$I$68,MATCH($B30,Pantry!$A$7:$A$68,0))</f>
        <v>8</v>
      </c>
      <c r="G30" s="57" t="n">
        <f aca="false">INDEX(Pantry!$D$7:$D$68,MATCH($B30,Pantry!$A$7:$A$68,0))</f>
        <v>2</v>
      </c>
      <c r="H30" s="45" t="str">
        <f aca="false">IF($F30&lt;$G30,"BUY","OK")</f>
        <v>OK</v>
      </c>
      <c r="I30" s="53" t="s">
        <v>305</v>
      </c>
    </row>
    <row r="31" customFormat="false" ht="15" hidden="false" customHeight="false" outlineLevel="0" collapsed="false">
      <c r="A31" s="50" t="s">
        <v>299</v>
      </c>
      <c r="B31" s="56" t="s">
        <v>250</v>
      </c>
      <c r="C31" s="57" t="n">
        <f aca="false">SUMIFS(Data!$D$3:$D$278,Data!$C$3:$C$278,$B31)</f>
        <v>5</v>
      </c>
      <c r="D31" s="56" t="s">
        <v>209</v>
      </c>
      <c r="E31" s="56" t="s">
        <v>304</v>
      </c>
      <c r="F31" s="57" t="n">
        <f aca="false">INDEX(Pantry!$I$7:$I$68,MATCH($B31,Pantry!$A$7:$A$68,0))</f>
        <v>6</v>
      </c>
      <c r="G31" s="57" t="n">
        <f aca="false">INDEX(Pantry!$D$7:$D$68,MATCH($B31,Pantry!$A$7:$A$68,0))</f>
        <v>4</v>
      </c>
      <c r="H31" s="45" t="str">
        <f aca="false">IF($F31&lt;$G31,"BUY","OK")</f>
        <v>OK</v>
      </c>
      <c r="I31" s="53" t="s">
        <v>305</v>
      </c>
    </row>
    <row r="32" customFormat="false" ht="15" hidden="false" customHeight="false" outlineLevel="0" collapsed="false">
      <c r="A32" s="50" t="s">
        <v>299</v>
      </c>
      <c r="B32" s="56" t="s">
        <v>211</v>
      </c>
      <c r="C32" s="57" t="n">
        <f aca="false">SUMIFS(Data!$D$3:$D$278,Data!$C$3:$C$278,$B32)</f>
        <v>4.5</v>
      </c>
      <c r="D32" s="56" t="s">
        <v>212</v>
      </c>
      <c r="E32" s="56" t="s">
        <v>304</v>
      </c>
      <c r="F32" s="57" t="n">
        <f aca="false">INDEX(Pantry!$I$7:$I$68,MATCH($B32,Pantry!$A$7:$A$68,0))</f>
        <v>2</v>
      </c>
      <c r="G32" s="57" t="n">
        <f aca="false">INDEX(Pantry!$D$7:$D$68,MATCH($B32,Pantry!$A$7:$A$68,0))</f>
        <v>1</v>
      </c>
      <c r="H32" s="45" t="str">
        <f aca="false">IF($F32&lt;$G32,"BUY","OK")</f>
        <v>OK</v>
      </c>
      <c r="I32" s="53" t="s">
        <v>305</v>
      </c>
    </row>
    <row r="33" customFormat="false" ht="15" hidden="false" customHeight="false" outlineLevel="0" collapsed="false">
      <c r="A33" s="50" t="s">
        <v>299</v>
      </c>
      <c r="B33" s="58" t="s">
        <v>215</v>
      </c>
      <c r="C33" s="59" t="n">
        <f aca="false">SUMIFS(Data!$D$3:$D$278,Data!$C$3:$C$278,$B33)</f>
        <v>3</v>
      </c>
      <c r="D33" s="58" t="s">
        <v>214</v>
      </c>
      <c r="E33" s="58" t="s">
        <v>306</v>
      </c>
      <c r="F33" s="59" t="n">
        <f aca="false">INDEX(Pantry!$I$7:$I$68,MATCH($B33,Pantry!$A$7:$A$68,0))</f>
        <v>2</v>
      </c>
      <c r="G33" s="59" t="n">
        <f aca="false">INDEX(Pantry!$D$7:$D$68,MATCH($B33,Pantry!$A$7:$A$68,0))</f>
        <v>2</v>
      </c>
      <c r="H33" s="45" t="str">
        <f aca="false">IF($F33&lt;$G33,"BUY","OK")</f>
        <v>OK</v>
      </c>
      <c r="I33" s="53" t="s">
        <v>307</v>
      </c>
    </row>
    <row r="34" customFormat="false" ht="15" hidden="false" customHeight="false" outlineLevel="0" collapsed="false">
      <c r="A34" s="50" t="s">
        <v>299</v>
      </c>
      <c r="B34" s="58" t="s">
        <v>238</v>
      </c>
      <c r="C34" s="59" t="n">
        <f aca="false">SUMIFS(Data!$D$3:$D$278,Data!$C$3:$C$278,$B34)</f>
        <v>4</v>
      </c>
      <c r="D34" s="58" t="s">
        <v>223</v>
      </c>
      <c r="E34" s="58" t="s">
        <v>306</v>
      </c>
      <c r="F34" s="59" t="n">
        <f aca="false">INDEX(Pantry!$I$7:$I$68,MATCH($B34,Pantry!$A$7:$A$68,0))</f>
        <v>5</v>
      </c>
      <c r="G34" s="59" t="n">
        <f aca="false">INDEX(Pantry!$D$7:$D$68,MATCH($B34,Pantry!$A$7:$A$68,0))</f>
        <v>2</v>
      </c>
      <c r="H34" s="45" t="str">
        <f aca="false">IF($F34&lt;$G34,"BUY","OK")</f>
        <v>OK</v>
      </c>
      <c r="I34" s="53" t="s">
        <v>307</v>
      </c>
    </row>
    <row r="35" customFormat="false" ht="15" hidden="false" customHeight="false" outlineLevel="0" collapsed="false">
      <c r="A35" s="50" t="s">
        <v>299</v>
      </c>
      <c r="B35" s="58" t="s">
        <v>234</v>
      </c>
      <c r="C35" s="59" t="n">
        <f aca="false">SUMIFS(Data!$D$3:$D$278,Data!$C$3:$C$278,$B35)</f>
        <v>11</v>
      </c>
      <c r="D35" s="58" t="s">
        <v>223</v>
      </c>
      <c r="E35" s="58" t="s">
        <v>306</v>
      </c>
      <c r="F35" s="59" t="n">
        <f aca="false">INDEX(Pantry!$I$7:$I$68,MATCH($B35,Pantry!$A$7:$A$68,0))</f>
        <v>12</v>
      </c>
      <c r="G35" s="59" t="n">
        <f aca="false">INDEX(Pantry!$D$7:$D$68,MATCH($B35,Pantry!$A$7:$A$68,0))</f>
        <v>4</v>
      </c>
      <c r="H35" s="45" t="str">
        <f aca="false">IF($F35&lt;$G35,"BUY","OK")</f>
        <v>OK</v>
      </c>
      <c r="I35" s="53" t="s">
        <v>307</v>
      </c>
    </row>
    <row r="36" customFormat="false" ht="15" hidden="false" customHeight="false" outlineLevel="0" collapsed="false">
      <c r="A36" s="50" t="s">
        <v>299</v>
      </c>
      <c r="B36" s="58" t="s">
        <v>228</v>
      </c>
      <c r="C36" s="59" t="n">
        <f aca="false">SUMIFS(Data!$D$3:$D$278,Data!$C$3:$C$278,$B36)</f>
        <v>7.5</v>
      </c>
      <c r="D36" s="58" t="s">
        <v>223</v>
      </c>
      <c r="E36" s="58" t="s">
        <v>306</v>
      </c>
      <c r="F36" s="59" t="n">
        <f aca="false">INDEX(Pantry!$I$7:$I$68,MATCH($B36,Pantry!$A$7:$A$68,0))</f>
        <v>6</v>
      </c>
      <c r="G36" s="59" t="n">
        <f aca="false">INDEX(Pantry!$D$7:$D$68,MATCH($B36,Pantry!$A$7:$A$68,0))</f>
        <v>2</v>
      </c>
      <c r="H36" s="45" t="str">
        <f aca="false">IF($F36&lt;$G36,"BUY","OK")</f>
        <v>OK</v>
      </c>
      <c r="I36" s="53" t="s">
        <v>307</v>
      </c>
    </row>
    <row r="37" customFormat="false" ht="15" hidden="false" customHeight="false" outlineLevel="0" collapsed="false">
      <c r="A37" s="50" t="s">
        <v>299</v>
      </c>
      <c r="B37" s="58" t="s">
        <v>227</v>
      </c>
      <c r="C37" s="59" t="n">
        <f aca="false">SUMIFS(Data!$D$3:$D$278,Data!$C$3:$C$278,$B37)</f>
        <v>18.5</v>
      </c>
      <c r="D37" s="58" t="s">
        <v>223</v>
      </c>
      <c r="E37" s="58" t="s">
        <v>306</v>
      </c>
      <c r="F37" s="59" t="n">
        <f aca="false">INDEX(Pantry!$I$7:$I$68,MATCH($B37,Pantry!$A$7:$A$68,0))</f>
        <v>8</v>
      </c>
      <c r="G37" s="59" t="n">
        <f aca="false">INDEX(Pantry!$D$7:$D$68,MATCH($B37,Pantry!$A$7:$A$68,0))</f>
        <v>3</v>
      </c>
      <c r="H37" s="45" t="str">
        <f aca="false">IF($F37&lt;$G37,"BUY","OK")</f>
        <v>OK</v>
      </c>
      <c r="I37" s="53" t="s">
        <v>307</v>
      </c>
    </row>
    <row r="38" customFormat="false" ht="15" hidden="false" customHeight="false" outlineLevel="0" collapsed="false">
      <c r="A38" s="50" t="s">
        <v>299</v>
      </c>
      <c r="B38" s="58" t="s">
        <v>266</v>
      </c>
      <c r="C38" s="59" t="n">
        <f aca="false">SUMIFS(Data!$D$3:$D$278,Data!$C$3:$C$278,$B38)</f>
        <v>1</v>
      </c>
      <c r="D38" s="58" t="s">
        <v>223</v>
      </c>
      <c r="E38" s="58" t="s">
        <v>306</v>
      </c>
      <c r="F38" s="59" t="n">
        <f aca="false">INDEX(Pantry!$I$7:$I$68,MATCH($B38,Pantry!$A$7:$A$68,0))</f>
        <v>2</v>
      </c>
      <c r="G38" s="59" t="n">
        <f aca="false">INDEX(Pantry!$D$7:$D$68,MATCH($B38,Pantry!$A$7:$A$68,0))</f>
        <v>1</v>
      </c>
      <c r="H38" s="45" t="str">
        <f aca="false">IF($F38&lt;$G38,"BUY","OK")</f>
        <v>OK</v>
      </c>
      <c r="I38" s="53" t="s">
        <v>307</v>
      </c>
    </row>
    <row r="39" customFormat="false" ht="15" hidden="false" customHeight="false" outlineLevel="0" collapsed="false">
      <c r="A39" s="50" t="s">
        <v>299</v>
      </c>
      <c r="B39" s="58" t="s">
        <v>229</v>
      </c>
      <c r="C39" s="59" t="n">
        <f aca="false">SUMIFS(Data!$D$3:$D$278,Data!$C$3:$C$278,$B39)</f>
        <v>2</v>
      </c>
      <c r="D39" s="58" t="s">
        <v>223</v>
      </c>
      <c r="E39" s="58" t="s">
        <v>306</v>
      </c>
      <c r="F39" s="59" t="n">
        <f aca="false">INDEX(Pantry!$I$7:$I$68,MATCH($B39,Pantry!$A$7:$A$68,0))</f>
        <v>1</v>
      </c>
      <c r="G39" s="59" t="n">
        <f aca="false">INDEX(Pantry!$D$7:$D$68,MATCH($B39,Pantry!$A$7:$A$68,0))</f>
        <v>2</v>
      </c>
      <c r="H39" s="45" t="str">
        <f aca="false">IF($F39&lt;$G39,"BUY","OK")</f>
        <v>BUY</v>
      </c>
      <c r="I39" s="53" t="s">
        <v>307</v>
      </c>
    </row>
    <row r="40" customFormat="false" ht="15" hidden="false" customHeight="false" outlineLevel="0" collapsed="false">
      <c r="A40" s="50" t="s">
        <v>299</v>
      </c>
      <c r="B40" s="58" t="s">
        <v>235</v>
      </c>
      <c r="C40" s="59" t="n">
        <f aca="false">SUMIFS(Data!$D$3:$D$278,Data!$C$3:$C$278,$B40)</f>
        <v>3</v>
      </c>
      <c r="D40" s="58" t="s">
        <v>223</v>
      </c>
      <c r="E40" s="58" t="s">
        <v>306</v>
      </c>
      <c r="F40" s="59" t="n">
        <f aca="false">INDEX(Pantry!$I$7:$I$68,MATCH($B40,Pantry!$A$7:$A$68,0))</f>
        <v>10</v>
      </c>
      <c r="G40" s="59" t="n">
        <f aca="false">INDEX(Pantry!$D$7:$D$68,MATCH($B40,Pantry!$A$7:$A$68,0))</f>
        <v>3</v>
      </c>
      <c r="H40" s="45" t="str">
        <f aca="false">IF($F40&lt;$G40,"BUY","OK")</f>
        <v>OK</v>
      </c>
      <c r="I40" s="53" t="s">
        <v>307</v>
      </c>
    </row>
    <row r="41" customFormat="false" ht="15" hidden="false" customHeight="false" outlineLevel="0" collapsed="false">
      <c r="A41" s="50" t="s">
        <v>299</v>
      </c>
      <c r="B41" s="58" t="s">
        <v>248</v>
      </c>
      <c r="C41" s="59" t="n">
        <f aca="false">SUMIFS(Data!$D$3:$D$278,Data!$C$3:$C$278,$B41)</f>
        <v>2</v>
      </c>
      <c r="D41" s="58" t="s">
        <v>223</v>
      </c>
      <c r="E41" s="58" t="s">
        <v>306</v>
      </c>
      <c r="F41" s="59" t="n">
        <f aca="false">INDEX(Pantry!$I$7:$I$68,MATCH($B41,Pantry!$A$7:$A$68,0))</f>
        <v>0</v>
      </c>
      <c r="G41" s="59" t="n">
        <f aca="false">INDEX(Pantry!$D$7:$D$68,MATCH($B41,Pantry!$A$7:$A$68,0))</f>
        <v>2</v>
      </c>
      <c r="H41" s="45" t="str">
        <f aca="false">IF($F41&lt;$G41,"BUY","OK")</f>
        <v>BUY</v>
      </c>
      <c r="I41" s="53" t="s">
        <v>307</v>
      </c>
    </row>
    <row r="42" customFormat="false" ht="15" hidden="false" customHeight="false" outlineLevel="0" collapsed="false">
      <c r="A42" s="50" t="s">
        <v>299</v>
      </c>
      <c r="B42" s="58" t="s">
        <v>269</v>
      </c>
      <c r="C42" s="59" t="n">
        <f aca="false">SUMIFS(Data!$D$3:$D$278,Data!$C$3:$C$278,$B42)</f>
        <v>4</v>
      </c>
      <c r="D42" s="58" t="s">
        <v>214</v>
      </c>
      <c r="E42" s="58" t="s">
        <v>306</v>
      </c>
      <c r="F42" s="59" t="n">
        <f aca="false">INDEX(Pantry!$I$7:$I$68,MATCH($B42,Pantry!$A$7:$A$68,0))</f>
        <v>0</v>
      </c>
      <c r="G42" s="59" t="n">
        <f aca="false">INDEX(Pantry!$D$7:$D$68,MATCH($B42,Pantry!$A$7:$A$68,0))</f>
        <v>2</v>
      </c>
      <c r="H42" s="45" t="str">
        <f aca="false">IF($F42&lt;$G42,"BUY","OK")</f>
        <v>BUY</v>
      </c>
      <c r="I42" s="53" t="s">
        <v>307</v>
      </c>
    </row>
    <row r="43" customFormat="false" ht="15" hidden="false" customHeight="false" outlineLevel="0" collapsed="false">
      <c r="A43" s="50" t="s">
        <v>299</v>
      </c>
      <c r="B43" s="58" t="s">
        <v>232</v>
      </c>
      <c r="C43" s="59" t="n">
        <f aca="false">SUMIFS(Data!$D$3:$D$278,Data!$C$3:$C$278,$B43)</f>
        <v>27</v>
      </c>
      <c r="D43" s="58" t="s">
        <v>223</v>
      </c>
      <c r="E43" s="58" t="s">
        <v>306</v>
      </c>
      <c r="F43" s="59" t="n">
        <f aca="false">INDEX(Pantry!$I$7:$I$68,MATCH($B43,Pantry!$A$7:$A$68,0))</f>
        <v>20</v>
      </c>
      <c r="G43" s="59" t="n">
        <f aca="false">INDEX(Pantry!$D$7:$D$68,MATCH($B43,Pantry!$A$7:$A$68,0))</f>
        <v>6</v>
      </c>
      <c r="H43" s="45" t="str">
        <f aca="false">IF($F43&lt;$G43,"BUY","OK")</f>
        <v>OK</v>
      </c>
      <c r="I43" s="53" t="s">
        <v>307</v>
      </c>
    </row>
    <row r="44" customFormat="false" ht="15" hidden="false" customHeight="false" outlineLevel="0" collapsed="false">
      <c r="A44" s="50" t="s">
        <v>299</v>
      </c>
      <c r="B44" s="58" t="s">
        <v>222</v>
      </c>
      <c r="C44" s="59" t="n">
        <f aca="false">SUMIFS(Data!$D$3:$D$278,Data!$C$3:$C$278,$B44)</f>
        <v>36</v>
      </c>
      <c r="D44" s="58" t="s">
        <v>223</v>
      </c>
      <c r="E44" s="58" t="s">
        <v>306</v>
      </c>
      <c r="F44" s="59" t="n">
        <f aca="false">INDEX(Pantry!$I$7:$I$68,MATCH($B44,Pantry!$A$7:$A$68,0))</f>
        <v>50</v>
      </c>
      <c r="G44" s="59" t="n">
        <f aca="false">INDEX(Pantry!$D$7:$D$68,MATCH($B44,Pantry!$A$7:$A$68,0))</f>
        <v>10</v>
      </c>
      <c r="H44" s="45" t="str">
        <f aca="false">IF($F44&lt;$G44,"BUY","OK")</f>
        <v>OK</v>
      </c>
      <c r="I44" s="53" t="s">
        <v>307</v>
      </c>
    </row>
    <row r="45" customFormat="false" ht="15" hidden="false" customHeight="false" outlineLevel="0" collapsed="false">
      <c r="A45" s="50" t="s">
        <v>299</v>
      </c>
      <c r="B45" s="58" t="s">
        <v>233</v>
      </c>
      <c r="C45" s="59" t="n">
        <f aca="false">SUMIFS(Data!$D$3:$D$278,Data!$C$3:$C$278,$B45)</f>
        <v>8.5</v>
      </c>
      <c r="D45" s="58" t="s">
        <v>223</v>
      </c>
      <c r="E45" s="58" t="s">
        <v>306</v>
      </c>
      <c r="F45" s="59" t="n">
        <f aca="false">INDEX(Pantry!$I$7:$I$68,MATCH($B45,Pantry!$A$7:$A$68,0))</f>
        <v>15</v>
      </c>
      <c r="G45" s="59" t="n">
        <f aca="false">INDEX(Pantry!$D$7:$D$68,MATCH($B45,Pantry!$A$7:$A$68,0))</f>
        <v>4</v>
      </c>
      <c r="H45" s="45" t="str">
        <f aca="false">IF($F45&lt;$G45,"BUY","OK")</f>
        <v>OK</v>
      </c>
      <c r="I45" s="53" t="s">
        <v>307</v>
      </c>
    </row>
    <row r="46" customFormat="false" ht="15" hidden="false" customHeight="false" outlineLevel="0" collapsed="false">
      <c r="A46" s="50" t="s">
        <v>299</v>
      </c>
      <c r="B46" s="58" t="s">
        <v>226</v>
      </c>
      <c r="C46" s="59" t="n">
        <f aca="false">SUMIFS(Data!$D$3:$D$278,Data!$C$3:$C$278,$B46)</f>
        <v>10</v>
      </c>
      <c r="D46" s="58" t="s">
        <v>214</v>
      </c>
      <c r="E46" s="58" t="s">
        <v>306</v>
      </c>
      <c r="F46" s="59" t="n">
        <f aca="false">INDEX(Pantry!$I$7:$I$68,MATCH($B46,Pantry!$A$7:$A$68,0))</f>
        <v>4</v>
      </c>
      <c r="G46" s="59" t="n">
        <f aca="false">INDEX(Pantry!$D$7:$D$68,MATCH($B46,Pantry!$A$7:$A$68,0))</f>
        <v>2</v>
      </c>
      <c r="H46" s="45" t="str">
        <f aca="false">IF($F46&lt;$G46,"BUY","OK")</f>
        <v>OK</v>
      </c>
      <c r="I46" s="53" t="s">
        <v>307</v>
      </c>
    </row>
    <row r="47" customFormat="false" ht="15" hidden="false" customHeight="false" outlineLevel="0" collapsed="false">
      <c r="A47" s="50" t="s">
        <v>299</v>
      </c>
      <c r="B47" s="60" t="s">
        <v>207</v>
      </c>
      <c r="C47" s="61" t="n">
        <f aca="false">SUMIFS(Data!$D$3:$D$278,Data!$C$3:$C$278,$B47)</f>
        <v>2.5</v>
      </c>
      <c r="D47" s="60" t="s">
        <v>206</v>
      </c>
      <c r="E47" s="60" t="s">
        <v>308</v>
      </c>
      <c r="F47" s="61" t="n">
        <f aca="false">INDEX(Pantry!$I$7:$I$68,MATCH($B47,Pantry!$A$7:$A$68,0))</f>
        <v>3</v>
      </c>
      <c r="G47" s="61" t="n">
        <f aca="false">INDEX(Pantry!$D$7:$D$68,MATCH($B47,Pantry!$A$7:$A$68,0))</f>
        <v>1</v>
      </c>
      <c r="H47" s="45" t="str">
        <f aca="false">IF($F47&lt;$G47,"BUY","OK")</f>
        <v>OK</v>
      </c>
      <c r="I47" s="53" t="s">
        <v>309</v>
      </c>
    </row>
    <row r="48" customFormat="false" ht="15" hidden="false" customHeight="false" outlineLevel="0" collapsed="false">
      <c r="A48" s="50" t="s">
        <v>299</v>
      </c>
      <c r="B48" s="60" t="s">
        <v>267</v>
      </c>
      <c r="C48" s="61" t="n">
        <f aca="false">SUMIFS(Data!$D$3:$D$278,Data!$C$3:$C$278,$B48)</f>
        <v>1</v>
      </c>
      <c r="D48" s="60" t="s">
        <v>209</v>
      </c>
      <c r="E48" s="60" t="s">
        <v>308</v>
      </c>
      <c r="F48" s="61" t="n">
        <f aca="false">INDEX(Pantry!$I$7:$I$68,MATCH($B48,Pantry!$A$7:$A$68,0))</f>
        <v>2</v>
      </c>
      <c r="G48" s="61" t="n">
        <f aca="false">INDEX(Pantry!$D$7:$D$68,MATCH($B48,Pantry!$A$7:$A$68,0))</f>
        <v>1</v>
      </c>
      <c r="H48" s="45" t="str">
        <f aca="false">IF($F48&lt;$G48,"BUY","OK")</f>
        <v>OK</v>
      </c>
      <c r="I48" s="53" t="s">
        <v>309</v>
      </c>
    </row>
    <row r="49" customFormat="false" ht="15" hidden="false" customHeight="false" outlineLevel="0" collapsed="false">
      <c r="A49" s="50" t="s">
        <v>299</v>
      </c>
      <c r="B49" s="60" t="s">
        <v>253</v>
      </c>
      <c r="C49" s="61" t="n">
        <f aca="false">SUMIFS(Data!$D$3:$D$278,Data!$C$3:$C$278,$B49)</f>
        <v>6</v>
      </c>
      <c r="D49" s="60" t="s">
        <v>214</v>
      </c>
      <c r="E49" s="60" t="s">
        <v>308</v>
      </c>
      <c r="F49" s="61" t="n">
        <f aca="false">INDEX(Pantry!$I$7:$I$68,MATCH($B49,Pantry!$A$7:$A$68,0))</f>
        <v>2</v>
      </c>
      <c r="G49" s="61" t="n">
        <f aca="false">INDEX(Pantry!$D$7:$D$68,MATCH($B49,Pantry!$A$7:$A$68,0))</f>
        <v>3</v>
      </c>
      <c r="H49" s="45" t="str">
        <f aca="false">IF($F49&lt;$G49,"BUY","OK")</f>
        <v>BUY</v>
      </c>
      <c r="I49" s="53" t="s">
        <v>309</v>
      </c>
    </row>
    <row r="50" customFormat="false" ht="15" hidden="false" customHeight="false" outlineLevel="0" collapsed="false">
      <c r="A50" s="50" t="s">
        <v>299</v>
      </c>
      <c r="B50" s="60" t="s">
        <v>216</v>
      </c>
      <c r="C50" s="61" t="n">
        <f aca="false">SUMIFS(Data!$D$3:$D$278,Data!$C$3:$C$278,$B50)</f>
        <v>11.75</v>
      </c>
      <c r="D50" s="60" t="s">
        <v>212</v>
      </c>
      <c r="E50" s="60" t="s">
        <v>308</v>
      </c>
      <c r="F50" s="61" t="n">
        <f aca="false">INDEX(Pantry!$I$7:$I$68,MATCH($B50,Pantry!$A$7:$A$68,0))</f>
        <v>5</v>
      </c>
      <c r="G50" s="61" t="n">
        <f aca="false">INDEX(Pantry!$D$7:$D$68,MATCH($B50,Pantry!$A$7:$A$68,0))</f>
        <v>2</v>
      </c>
      <c r="H50" s="45" t="str">
        <f aca="false">IF($F50&lt;$G50,"BUY","OK")</f>
        <v>OK</v>
      </c>
      <c r="I50" s="53" t="s">
        <v>309</v>
      </c>
    </row>
    <row r="51" customFormat="false" ht="15" hidden="false" customHeight="false" outlineLevel="0" collapsed="false">
      <c r="A51" s="50" t="s">
        <v>299</v>
      </c>
      <c r="B51" s="60" t="s">
        <v>251</v>
      </c>
      <c r="C51" s="61" t="n">
        <f aca="false">SUMIFS(Data!$D$3:$D$278,Data!$C$3:$C$278,$B51)</f>
        <v>4</v>
      </c>
      <c r="D51" s="60" t="s">
        <v>214</v>
      </c>
      <c r="E51" s="60" t="s">
        <v>308</v>
      </c>
      <c r="F51" s="61" t="n">
        <f aca="false">INDEX(Pantry!$I$7:$I$68,MATCH($B51,Pantry!$A$7:$A$68,0))</f>
        <v>4</v>
      </c>
      <c r="G51" s="61" t="n">
        <f aca="false">INDEX(Pantry!$D$7:$D$68,MATCH($B51,Pantry!$A$7:$A$68,0))</f>
        <v>2</v>
      </c>
      <c r="H51" s="45" t="str">
        <f aca="false">IF($F51&lt;$G51,"BUY","OK")</f>
        <v>OK</v>
      </c>
      <c r="I51" s="53" t="s">
        <v>309</v>
      </c>
    </row>
    <row r="52" customFormat="false" ht="15" hidden="false" customHeight="false" outlineLevel="0" collapsed="false">
      <c r="A52" s="50" t="s">
        <v>299</v>
      </c>
      <c r="B52" s="60" t="s">
        <v>224</v>
      </c>
      <c r="C52" s="61" t="n">
        <f aca="false">SUMIFS(Data!$D$3:$D$278,Data!$C$3:$C$278,$B52)</f>
        <v>2</v>
      </c>
      <c r="D52" s="60" t="s">
        <v>212</v>
      </c>
      <c r="E52" s="60" t="s">
        <v>308</v>
      </c>
      <c r="F52" s="61" t="n">
        <f aca="false">INDEX(Pantry!$I$7:$I$68,MATCH($B52,Pantry!$A$7:$A$68,0))</f>
        <v>0</v>
      </c>
      <c r="G52" s="61" t="n">
        <f aca="false">INDEX(Pantry!$D$7:$D$68,MATCH($B52,Pantry!$A$7:$A$68,0))</f>
        <v>1</v>
      </c>
      <c r="H52" s="45" t="str">
        <f aca="false">IF($F52&lt;$G52,"BUY","OK")</f>
        <v>BUY</v>
      </c>
      <c r="I52" s="53" t="s">
        <v>309</v>
      </c>
    </row>
    <row r="53" customFormat="false" ht="15" hidden="false" customHeight="false" outlineLevel="0" collapsed="false">
      <c r="A53" s="50" t="s">
        <v>299</v>
      </c>
      <c r="B53" s="60" t="s">
        <v>240</v>
      </c>
      <c r="C53" s="61" t="n">
        <f aca="false">SUMIFS(Data!$D$3:$D$278,Data!$C$3:$C$278,$B53)</f>
        <v>14</v>
      </c>
      <c r="D53" s="60" t="s">
        <v>214</v>
      </c>
      <c r="E53" s="60" t="s">
        <v>308</v>
      </c>
      <c r="F53" s="61" t="n">
        <f aca="false">INDEX(Pantry!$I$7:$I$68,MATCH($B53,Pantry!$A$7:$A$68,0))</f>
        <v>10</v>
      </c>
      <c r="G53" s="61" t="n">
        <f aca="false">INDEX(Pantry!$D$7:$D$68,MATCH($B53,Pantry!$A$7:$A$68,0))</f>
        <v>4</v>
      </c>
      <c r="H53" s="45" t="str">
        <f aca="false">IF($F53&lt;$G53,"BUY","OK")</f>
        <v>OK</v>
      </c>
      <c r="I53" s="53" t="s">
        <v>309</v>
      </c>
    </row>
    <row r="54" customFormat="false" ht="15" hidden="false" customHeight="false" outlineLevel="0" collapsed="false">
      <c r="A54" s="50" t="s">
        <v>299</v>
      </c>
      <c r="B54" s="60" t="s">
        <v>213</v>
      </c>
      <c r="C54" s="61" t="n">
        <f aca="false">SUMIFS(Data!$D$3:$D$278,Data!$C$3:$C$278,$B54)</f>
        <v>28</v>
      </c>
      <c r="D54" s="60" t="s">
        <v>214</v>
      </c>
      <c r="E54" s="60" t="s">
        <v>308</v>
      </c>
      <c r="F54" s="61" t="n">
        <f aca="false">INDEX(Pantry!$I$7:$I$68,MATCH($B54,Pantry!$A$7:$A$68,0))</f>
        <v>1</v>
      </c>
      <c r="G54" s="61" t="n">
        <f aca="false">INDEX(Pantry!$D$7:$D$68,MATCH($B54,Pantry!$A$7:$A$68,0))</f>
        <v>2</v>
      </c>
      <c r="H54" s="45" t="str">
        <f aca="false">IF($F54&lt;$G54,"BUY","OK")</f>
        <v>BUY</v>
      </c>
      <c r="I54" s="53" t="s">
        <v>309</v>
      </c>
    </row>
    <row r="55" customFormat="false" ht="15" hidden="false" customHeight="false" outlineLevel="0" collapsed="false">
      <c r="A55" s="50" t="s">
        <v>299</v>
      </c>
      <c r="B55" s="60" t="s">
        <v>271</v>
      </c>
      <c r="C55" s="61" t="n">
        <f aca="false">SUMIFS(Data!$D$3:$D$278,Data!$C$3:$C$278,$B55)</f>
        <v>2</v>
      </c>
      <c r="D55" s="60" t="s">
        <v>214</v>
      </c>
      <c r="E55" s="60" t="s">
        <v>308</v>
      </c>
      <c r="F55" s="61" t="n">
        <f aca="false">INDEX(Pantry!$I$7:$I$68,MATCH($B55,Pantry!$A$7:$A$68,0))</f>
        <v>6</v>
      </c>
      <c r="G55" s="61" t="n">
        <f aca="false">INDEX(Pantry!$D$7:$D$68,MATCH($B55,Pantry!$A$7:$A$68,0))</f>
        <v>3</v>
      </c>
      <c r="H55" s="45" t="str">
        <f aca="false">IF($F55&lt;$G55,"BUY","OK")</f>
        <v>OK</v>
      </c>
      <c r="I55" s="53" t="s">
        <v>309</v>
      </c>
    </row>
    <row r="56" customFormat="false" ht="15" hidden="false" customHeight="false" outlineLevel="0" collapsed="false">
      <c r="A56" s="50" t="s">
        <v>299</v>
      </c>
      <c r="B56" s="60" t="s">
        <v>252</v>
      </c>
      <c r="C56" s="61" t="n">
        <f aca="false">SUMIFS(Data!$D$3:$D$278,Data!$C$3:$C$278,$B56)</f>
        <v>10</v>
      </c>
      <c r="D56" s="60" t="s">
        <v>214</v>
      </c>
      <c r="E56" s="60" t="s">
        <v>308</v>
      </c>
      <c r="F56" s="61" t="n">
        <f aca="false">INDEX(Pantry!$I$7:$I$68,MATCH($B56,Pantry!$A$7:$A$68,0))</f>
        <v>8</v>
      </c>
      <c r="G56" s="61" t="n">
        <f aca="false">INDEX(Pantry!$D$7:$D$68,MATCH($B56,Pantry!$A$7:$A$68,0))</f>
        <v>3</v>
      </c>
      <c r="H56" s="45" t="str">
        <f aca="false">IF($F56&lt;$G56,"BUY","OK")</f>
        <v>OK</v>
      </c>
      <c r="I56" s="53" t="s">
        <v>309</v>
      </c>
    </row>
    <row r="57" customFormat="false" ht="15" hidden="false" customHeight="false" outlineLevel="0" collapsed="false">
      <c r="A57" s="50" t="s">
        <v>299</v>
      </c>
      <c r="B57" s="60" t="s">
        <v>225</v>
      </c>
      <c r="C57" s="61" t="n">
        <f aca="false">SUMIFS(Data!$D$3:$D$278,Data!$C$3:$C$278,$B57)</f>
        <v>2</v>
      </c>
      <c r="D57" s="60" t="s">
        <v>223</v>
      </c>
      <c r="E57" s="60" t="s">
        <v>308</v>
      </c>
      <c r="F57" s="61" t="n">
        <f aca="false">INDEX(Pantry!$I$7:$I$68,MATCH($B57,Pantry!$A$7:$A$68,0))</f>
        <v>2</v>
      </c>
      <c r="G57" s="61" t="n">
        <f aca="false">INDEX(Pantry!$D$7:$D$68,MATCH($B57,Pantry!$A$7:$A$68,0))</f>
        <v>1</v>
      </c>
      <c r="H57" s="45" t="str">
        <f aca="false">IF($F57&lt;$G57,"BUY","OK")</f>
        <v>OK</v>
      </c>
      <c r="I57" s="53" t="s">
        <v>309</v>
      </c>
    </row>
    <row r="58" customFormat="false" ht="15" hidden="false" customHeight="false" outlineLevel="0" collapsed="false">
      <c r="A58" s="50" t="s">
        <v>299</v>
      </c>
      <c r="B58" s="60" t="s">
        <v>262</v>
      </c>
      <c r="C58" s="61" t="n">
        <f aca="false">SUMIFS(Data!$D$3:$D$278,Data!$C$3:$C$278,$B58)</f>
        <v>300</v>
      </c>
      <c r="D58" s="60" t="s">
        <v>231</v>
      </c>
      <c r="E58" s="60" t="s">
        <v>308</v>
      </c>
      <c r="F58" s="61" t="n">
        <f aca="false">INDEX(Pantry!$I$7:$I$68,MATCH($B58,Pantry!$A$7:$A$68,0))</f>
        <v>500</v>
      </c>
      <c r="G58" s="61" t="n">
        <f aca="false">INDEX(Pantry!$D$7:$D$68,MATCH($B58,Pantry!$A$7:$A$68,0))</f>
        <v>250</v>
      </c>
      <c r="H58" s="45" t="str">
        <f aca="false">IF($F58&lt;$G58,"BUY","OK")</f>
        <v>OK</v>
      </c>
      <c r="I58" s="53" t="s">
        <v>309</v>
      </c>
    </row>
    <row r="59" customFormat="false" ht="15" hidden="false" customHeight="false" outlineLevel="0" collapsed="false">
      <c r="A59" s="50" t="s">
        <v>299</v>
      </c>
      <c r="B59" s="60" t="s">
        <v>275</v>
      </c>
      <c r="C59" s="61" t="n">
        <f aca="false">SUMIFS(Data!$D$3:$D$278,Data!$C$3:$C$278,$B59)</f>
        <v>4</v>
      </c>
      <c r="D59" s="60" t="s">
        <v>214</v>
      </c>
      <c r="E59" s="60" t="s">
        <v>308</v>
      </c>
      <c r="F59" s="61" t="n">
        <f aca="false">INDEX(Pantry!$I$7:$I$68,MATCH($B59,Pantry!$A$7:$A$68,0))</f>
        <v>0</v>
      </c>
      <c r="G59" s="61" t="n">
        <f aca="false">INDEX(Pantry!$D$7:$D$68,MATCH($B59,Pantry!$A$7:$A$68,0))</f>
        <v>3</v>
      </c>
      <c r="H59" s="45" t="str">
        <f aca="false">IF($F59&lt;$G59,"BUY","OK")</f>
        <v>BUY</v>
      </c>
      <c r="I59" s="53" t="s">
        <v>309</v>
      </c>
    </row>
    <row r="60" customFormat="false" ht="15" hidden="false" customHeight="false" outlineLevel="0" collapsed="false">
      <c r="A60" s="50" t="s">
        <v>299</v>
      </c>
      <c r="B60" s="60" t="s">
        <v>261</v>
      </c>
      <c r="C60" s="61" t="n">
        <f aca="false">SUMIFS(Data!$D$3:$D$278,Data!$C$3:$C$278,$B60)</f>
        <v>250</v>
      </c>
      <c r="D60" s="60" t="s">
        <v>231</v>
      </c>
      <c r="E60" s="60" t="s">
        <v>308</v>
      </c>
      <c r="F60" s="61" t="n">
        <f aca="false">INDEX(Pantry!$I$7:$I$68,MATCH($B60,Pantry!$A$7:$A$68,0))</f>
        <v>0</v>
      </c>
      <c r="G60" s="61" t="n">
        <f aca="false">INDEX(Pantry!$D$7:$D$68,MATCH($B60,Pantry!$A$7:$A$68,0))</f>
        <v>250</v>
      </c>
      <c r="H60" s="45" t="str">
        <f aca="false">IF($F60&lt;$G60,"BUY","OK")</f>
        <v>BUY</v>
      </c>
      <c r="I60" s="53" t="s">
        <v>309</v>
      </c>
    </row>
    <row r="61" customFormat="false" ht="15" hidden="false" customHeight="false" outlineLevel="0" collapsed="false">
      <c r="A61" s="50" t="s">
        <v>299</v>
      </c>
      <c r="B61" s="60" t="s">
        <v>254</v>
      </c>
      <c r="C61" s="61" t="n">
        <f aca="false">SUMIFS(Data!$D$3:$D$278,Data!$C$3:$C$278,$B61)</f>
        <v>4</v>
      </c>
      <c r="D61" s="60" t="s">
        <v>214</v>
      </c>
      <c r="E61" s="60" t="s">
        <v>308</v>
      </c>
      <c r="F61" s="61" t="n">
        <f aca="false">INDEX(Pantry!$I$7:$I$68,MATCH($B61,Pantry!$A$7:$A$68,0))</f>
        <v>6</v>
      </c>
      <c r="G61" s="61" t="n">
        <f aca="false">INDEX(Pantry!$D$7:$D$68,MATCH($B61,Pantry!$A$7:$A$68,0))</f>
        <v>3</v>
      </c>
      <c r="H61" s="45" t="str">
        <f aca="false">IF($F61&lt;$G61,"BUY","OK")</f>
        <v>OK</v>
      </c>
      <c r="I61" s="53" t="s">
        <v>309</v>
      </c>
    </row>
    <row r="62" customFormat="false" ht="15" hidden="false" customHeight="false" outlineLevel="0" collapsed="false">
      <c r="A62" s="50" t="s">
        <v>299</v>
      </c>
      <c r="B62" s="60" t="s">
        <v>256</v>
      </c>
      <c r="C62" s="61" t="n">
        <f aca="false">SUMIFS(Data!$D$3:$D$278,Data!$C$3:$C$278,$B62)</f>
        <v>2</v>
      </c>
      <c r="D62" s="60" t="s">
        <v>223</v>
      </c>
      <c r="E62" s="60" t="s">
        <v>308</v>
      </c>
      <c r="F62" s="61" t="n">
        <f aca="false">INDEX(Pantry!$I$7:$I$68,MATCH($B62,Pantry!$A$7:$A$68,0))</f>
        <v>30</v>
      </c>
      <c r="G62" s="61" t="n">
        <f aca="false">INDEX(Pantry!$D$7:$D$68,MATCH($B62,Pantry!$A$7:$A$68,0))</f>
        <v>4</v>
      </c>
      <c r="H62" s="45" t="str">
        <f aca="false">IF($F62&lt;$G62,"BUY","OK")</f>
        <v>OK</v>
      </c>
      <c r="I62" s="53" t="s">
        <v>309</v>
      </c>
    </row>
    <row r="63" customFormat="false" ht="15" hidden="false" customHeight="false" outlineLevel="0" collapsed="false">
      <c r="A63" s="50" t="s">
        <v>299</v>
      </c>
      <c r="B63" s="60" t="s">
        <v>255</v>
      </c>
      <c r="C63" s="61" t="n">
        <f aca="false">SUMIFS(Data!$D$3:$D$278,Data!$C$3:$C$278,$B63)</f>
        <v>3</v>
      </c>
      <c r="D63" s="60" t="s">
        <v>214</v>
      </c>
      <c r="E63" s="60" t="s">
        <v>308</v>
      </c>
      <c r="F63" s="61" t="n">
        <f aca="false">INDEX(Pantry!$I$7:$I$68,MATCH($B63,Pantry!$A$7:$A$68,0))</f>
        <v>5</v>
      </c>
      <c r="G63" s="61" t="n">
        <f aca="false">INDEX(Pantry!$D$7:$D$68,MATCH($B63,Pantry!$A$7:$A$68,0))</f>
        <v>2</v>
      </c>
      <c r="H63" s="45" t="str">
        <f aca="false">IF($F63&lt;$G63,"BUY","OK")</f>
        <v>OK</v>
      </c>
      <c r="I63" s="53" t="s">
        <v>309</v>
      </c>
    </row>
    <row r="64" customFormat="false" ht="15" hidden="false" customHeight="false" outlineLevel="0" collapsed="false">
      <c r="A64" s="50" t="s">
        <v>299</v>
      </c>
      <c r="B64" s="60" t="s">
        <v>270</v>
      </c>
      <c r="C64" s="61" t="n">
        <f aca="false">SUMIFS(Data!$D$3:$D$278,Data!$C$3:$C$278,$B64)</f>
        <v>6</v>
      </c>
      <c r="D64" s="60" t="s">
        <v>214</v>
      </c>
      <c r="E64" s="60" t="s">
        <v>308</v>
      </c>
      <c r="F64" s="61" t="n">
        <f aca="false">INDEX(Pantry!$I$7:$I$68,MATCH($B64,Pantry!$A$7:$A$68,0))</f>
        <v>20</v>
      </c>
      <c r="G64" s="61" t="n">
        <f aca="false">INDEX(Pantry!$D$7:$D$68,MATCH($B64,Pantry!$A$7:$A$68,0))</f>
        <v>4</v>
      </c>
      <c r="H64" s="45" t="str">
        <f aca="false">IF($F64&lt;$G64,"BUY","OK")</f>
        <v>OK</v>
      </c>
      <c r="I64" s="53" t="s">
        <v>309</v>
      </c>
    </row>
    <row r="65" customFormat="false" ht="15" hidden="false" customHeight="false" outlineLevel="0" collapsed="false">
      <c r="A65" s="50" t="s">
        <v>299</v>
      </c>
      <c r="B65" s="62" t="s">
        <v>241</v>
      </c>
      <c r="C65" s="63" t="n">
        <f aca="false">SUMIFS(Data!$D$3:$D$278,Data!$C$3:$C$278,$B65)</f>
        <v>625</v>
      </c>
      <c r="D65" s="62" t="s">
        <v>231</v>
      </c>
      <c r="E65" s="62" t="s">
        <v>310</v>
      </c>
      <c r="F65" s="63" t="n">
        <f aca="false">INDEX(Pantry!$I$7:$I$68,MATCH($B65,Pantry!$A$7:$A$68,0))</f>
        <v>500</v>
      </c>
      <c r="G65" s="63" t="n">
        <f aca="false">INDEX(Pantry!$D$7:$D$68,MATCH($B65,Pantry!$A$7:$A$68,0))</f>
        <v>250</v>
      </c>
      <c r="H65" s="45" t="str">
        <f aca="false">IF($F65&lt;$G65,"BUY","OK")</f>
        <v>OK</v>
      </c>
      <c r="I65" s="53" t="s">
        <v>311</v>
      </c>
    </row>
    <row r="66" customFormat="false" ht="15" hidden="false" customHeight="false" outlineLevel="0" collapsed="false">
      <c r="A66" s="50" t="s">
        <v>299</v>
      </c>
      <c r="B66" s="62" t="s">
        <v>244</v>
      </c>
      <c r="C66" s="63" t="n">
        <f aca="false">SUMIFS(Data!$D$3:$D$278,Data!$C$3:$C$278,$B66)</f>
        <v>300</v>
      </c>
      <c r="D66" s="62" t="s">
        <v>231</v>
      </c>
      <c r="E66" s="62" t="s">
        <v>310</v>
      </c>
      <c r="F66" s="63" t="n">
        <f aca="false">INDEX(Pantry!$I$7:$I$68,MATCH($B66,Pantry!$A$7:$A$68,0))</f>
        <v>250</v>
      </c>
      <c r="G66" s="63" t="n">
        <f aca="false">INDEX(Pantry!$D$7:$D$68,MATCH($B66,Pantry!$A$7:$A$68,0))</f>
        <v>250</v>
      </c>
      <c r="H66" s="45" t="str">
        <f aca="false">IF($F66&lt;$G66,"BUY","OK")</f>
        <v>OK</v>
      </c>
      <c r="I66" s="53" t="s">
        <v>311</v>
      </c>
    </row>
    <row r="67" customFormat="false" ht="15" hidden="false" customHeight="false" outlineLevel="0" collapsed="false">
      <c r="A67" s="50" t="s">
        <v>299</v>
      </c>
      <c r="B67" s="62" t="s">
        <v>245</v>
      </c>
      <c r="C67" s="63" t="n">
        <f aca="false">SUMIFS(Data!$D$3:$D$278,Data!$C$3:$C$278,$B67)</f>
        <v>300</v>
      </c>
      <c r="D67" s="62" t="s">
        <v>231</v>
      </c>
      <c r="E67" s="62" t="s">
        <v>310</v>
      </c>
      <c r="F67" s="63" t="n">
        <f aca="false">INDEX(Pantry!$I$7:$I$68,MATCH($B67,Pantry!$A$7:$A$68,0))</f>
        <v>0</v>
      </c>
      <c r="G67" s="63" t="n">
        <f aca="false">INDEX(Pantry!$D$7:$D$68,MATCH($B67,Pantry!$A$7:$A$68,0))</f>
        <v>250</v>
      </c>
      <c r="H67" s="45" t="str">
        <f aca="false">IF($F67&lt;$G67,"BUY","OK")</f>
        <v>BUY</v>
      </c>
      <c r="I67" s="53" t="s">
        <v>311</v>
      </c>
    </row>
    <row r="68" customFormat="false" ht="15" hidden="false" customHeight="false" outlineLevel="0" collapsed="false">
      <c r="A68" s="50" t="s">
        <v>299</v>
      </c>
      <c r="B68" s="62" t="s">
        <v>272</v>
      </c>
      <c r="C68" s="63" t="n">
        <f aca="false">SUMIFS(Data!$D$3:$D$278,Data!$C$3:$C$278,$B68)</f>
        <v>250</v>
      </c>
      <c r="D68" s="62" t="s">
        <v>231</v>
      </c>
      <c r="E68" s="62" t="s">
        <v>310</v>
      </c>
      <c r="F68" s="63" t="n">
        <f aca="false">INDEX(Pantry!$I$7:$I$68,MATCH($B68,Pantry!$A$7:$A$68,0))</f>
        <v>300</v>
      </c>
      <c r="G68" s="63" t="n">
        <f aca="false">INDEX(Pantry!$D$7:$D$68,MATCH($B68,Pantry!$A$7:$A$68,0))</f>
        <v>250</v>
      </c>
      <c r="H68" s="45" t="str">
        <f aca="false">IF($F68&lt;$G68,"BUY","OK")</f>
        <v>OK</v>
      </c>
      <c r="I68" s="53" t="s">
        <v>311</v>
      </c>
    </row>
    <row r="69" customFormat="false" ht="15" hidden="false" customHeight="false" outlineLevel="0" collapsed="false">
      <c r="A69" s="50" t="s">
        <v>299</v>
      </c>
      <c r="B69" s="62" t="s">
        <v>230</v>
      </c>
      <c r="C69" s="63" t="n">
        <f aca="false">SUMIFS(Data!$D$3:$D$278,Data!$C$3:$C$278,$B69)</f>
        <v>375</v>
      </c>
      <c r="D69" s="62" t="s">
        <v>231</v>
      </c>
      <c r="E69" s="62" t="s">
        <v>310</v>
      </c>
      <c r="F69" s="63" t="n">
        <f aca="false">INDEX(Pantry!$I$7:$I$68,MATCH($B69,Pantry!$A$7:$A$68,0))</f>
        <v>0</v>
      </c>
      <c r="G69" s="63" t="n">
        <f aca="false">INDEX(Pantry!$D$7:$D$68,MATCH($B69,Pantry!$A$7:$A$68,0))</f>
        <v>250</v>
      </c>
      <c r="H69" s="45" t="str">
        <f aca="false">IF($F69&lt;$G69,"BUY","OK")</f>
        <v>BUY</v>
      </c>
      <c r="I69" s="53" t="s">
        <v>311</v>
      </c>
    </row>
  </sheetData>
  <mergeCells count="3">
    <mergeCell ref="C4:I4"/>
    <mergeCell ref="C5:D5"/>
    <mergeCell ref="E5:I5"/>
  </mergeCells>
  <conditionalFormatting sqref="H8:H69">
    <cfRule type="cellIs" priority="2" operator="equal" aboveAverage="0" equalAverage="0" bottom="0" percent="0" rank="0" text="" dxfId="0">
      <formula>"BUY"</formula>
    </cfRule>
    <cfRule type="cellIs" priority="3" operator="equal" aboveAverage="0" equalAverage="0" bottom="0" percent="0" rank="0" text="" dxfId="2">
      <formula>"OK"</formula>
    </cfRule>
  </conditionalFormatting>
  <conditionalFormatting sqref="B8:B69">
    <cfRule type="expression" priority="4" aboveAverage="0" equalAverage="0" bottom="0" percent="0" rank="0" text="" dxfId="3">
      <formula>$A8="☑"</formula>
    </cfRule>
  </conditionalFormatting>
  <dataValidations count="2">
    <dataValidation allowBlank="true" errorStyle="stop" operator="between" showDropDown="false" showErrorMessage="false" showInputMessage="false" sqref="C5" type="list">
      <formula1>Lists!$B$2:$B$23</formula1>
      <formula2>0</formula2>
    </dataValidation>
    <dataValidation allowBlank="true" errorStyle="stop" operator="between" showDropDown="false" showErrorMessage="false" showInputMessage="false" sqref="A8:A69" type="list">
      <formula1>"☑,☐"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44"/>
    <col collapsed="false" customWidth="true" hidden="true" outlineLevel="0" max="14" min="12" style="0" width="13"/>
  </cols>
  <sheetData>
    <row r="1" customFormat="false" ht="19.7" hidden="false" customHeight="false" outlineLevel="0" collapsed="false">
      <c r="A1" s="23" t="s">
        <v>312</v>
      </c>
      <c r="B1" s="2"/>
      <c r="C1" s="2"/>
      <c r="D1" s="2"/>
      <c r="E1" s="2"/>
      <c r="F1" s="64" t="str">
        <f aca="false">"Cooking for "&amp;Home!$D$5&amp;" people - change this on the Home tab"</f>
        <v>Cooking for 4 people - change this on the Home tab</v>
      </c>
      <c r="G1" s="2"/>
      <c r="H1" s="2"/>
      <c r="I1" s="2"/>
    </row>
    <row r="2" customFormat="false" ht="15" hidden="false" customHeight="false" outlineLevel="0" collapsed="false">
      <c r="A2" s="24" t="s">
        <v>313</v>
      </c>
    </row>
    <row r="3" customFormat="false" ht="15" hidden="false" customHeight="false" outlineLevel="0" collapsed="false">
      <c r="A3" s="10" t="s">
        <v>314</v>
      </c>
      <c r="B3" s="10" t="s">
        <v>194</v>
      </c>
      <c r="D3" s="10" t="s">
        <v>10</v>
      </c>
      <c r="E3" s="10" t="s">
        <v>126</v>
      </c>
      <c r="F3" s="10" t="s">
        <v>15</v>
      </c>
      <c r="G3" s="10" t="s">
        <v>13</v>
      </c>
      <c r="H3" s="10" t="s">
        <v>315</v>
      </c>
      <c r="L3" s="0" t="s">
        <v>316</v>
      </c>
      <c r="M3" s="0" t="s">
        <v>317</v>
      </c>
      <c r="N3" s="0" t="s">
        <v>318</v>
      </c>
    </row>
    <row r="4" customFormat="false" ht="15" hidden="false" customHeight="false" outlineLevel="0" collapsed="false">
      <c r="A4" s="16" t="str">
        <f aca="false">IF(INDEX(Pantry!$I$7:$I$68,MATCH($B4,Pantry!$A$7:$A$68,0))&gt;0,"☑","☐")</f>
        <v>☐</v>
      </c>
      <c r="B4" s="35" t="s">
        <v>265</v>
      </c>
      <c r="D4" s="11" t="n">
        <v>1</v>
      </c>
      <c r="E4" s="65" t="str">
        <f aca="false">INDEX($L$4:$L$25,MATCH(LARGE($N$4:$N$25,$D4),$N$4:$N$25,0))</f>
        <v>R016</v>
      </c>
      <c r="F4" s="13" t="str">
        <f aca="false">VLOOKUP($E4,Lists!$A$2:$B$23,2,0)</f>
        <v>Aalu (Masala Aloo)</v>
      </c>
      <c r="G4" s="14" t="n">
        <f aca="false">INDEX($M$4:$M$25,MATCH($E4,$L$4:$L$25,0))</f>
        <v>1</v>
      </c>
      <c r="H4" s="66" t="str">
        <f aca="false" t="array" ref="H4:H4">_xlfn.TEXTJOIN(", ",TRUE(),IF((Data!$A$3:$A$278=$E4)*(Data!$L$3:$L$278=0),Data!$C$3:$C$278,""))</f>
        <v/>
      </c>
      <c r="L4" s="0" t="s">
        <v>31</v>
      </c>
      <c r="M4" s="0" t="n">
        <f aca="false">SUMIFS(Data!$L$3:$L$278,Data!$A$3:$A$278,$L4)/COUNTIFS(Data!$A$3:$A$278,$L4)</f>
        <v>0.8</v>
      </c>
      <c r="N4" s="0" t="n">
        <f aca="false">$M4+ROW()/1000000</f>
        <v>0.800004</v>
      </c>
    </row>
    <row r="5" customFormat="false" ht="15" hidden="false" customHeight="false" outlineLevel="0" collapsed="false">
      <c r="A5" s="16" t="str">
        <f aca="false">IF(INDEX(Pantry!$I$7:$I$68,MATCH($B5,Pantry!$A$7:$A$68,0))&gt;0,"☑","☐")</f>
        <v>☐</v>
      </c>
      <c r="B5" s="35" t="s">
        <v>260</v>
      </c>
      <c r="D5" s="11" t="n">
        <v>2</v>
      </c>
      <c r="E5" s="65" t="str">
        <f aca="false">INDEX($L$4:$L$25,MATCH(LARGE($N$4:$N$25,$D5),$N$4:$N$25,0))</f>
        <v>R006a</v>
      </c>
      <c r="F5" s="13" t="str">
        <f aca="false">VLOOKUP($E5,Lists!$A$2:$B$23,2,0)</f>
        <v>Daal Chana (Masala)</v>
      </c>
      <c r="G5" s="14" t="n">
        <f aca="false">INDEX($M$4:$M$25,MATCH($E5,$L$4:$L$25,0))</f>
        <v>1</v>
      </c>
      <c r="H5" s="66" t="str">
        <f aca="false" t="array" ref="H5:H5">_xlfn.TEXTJOIN(", ",TRUE(),IF((Data!$A$3:$A$278=$E5)*(Data!$L$3:$L$278=0),Data!$C$3:$C$278,""))</f>
        <v/>
      </c>
      <c r="L5" s="0" t="s">
        <v>36</v>
      </c>
      <c r="M5" s="0" t="n">
        <f aca="false">SUMIFS(Data!$L$3:$L$278,Data!$A$3:$A$278,$L5)/COUNTIFS(Data!$A$3:$A$278,$L5)</f>
        <v>0.833333333333333</v>
      </c>
      <c r="N5" s="0" t="n">
        <f aca="false">$M5+ROW()/1000000</f>
        <v>0.833338333333333</v>
      </c>
    </row>
    <row r="6" customFormat="false" ht="15" hidden="false" customHeight="false" outlineLevel="0" collapsed="false">
      <c r="A6" s="16" t="str">
        <f aca="false">IF(INDEX(Pantry!$I$7:$I$68,MATCH($B6,Pantry!$A$7:$A$68,0))&gt;0,"☑","☐")</f>
        <v>☑</v>
      </c>
      <c r="B6" s="35" t="s">
        <v>257</v>
      </c>
      <c r="D6" s="11" t="n">
        <v>3</v>
      </c>
      <c r="E6" s="65" t="str">
        <f aca="false">INDEX($L$4:$L$25,MATCH(LARGE($N$4:$N$25,$D6),$N$4:$N$25,0))</f>
        <v>R019</v>
      </c>
      <c r="F6" s="13" t="str">
        <f aca="false">VLOOKUP($E6,Lists!$A$2:$B$23,2,0)</f>
        <v>Khichri (Spicy Fried Khichdi)</v>
      </c>
      <c r="G6" s="14" t="n">
        <f aca="false">INDEX($M$4:$M$25,MATCH($E6,$L$4:$L$25,0))</f>
        <v>0.916666666666667</v>
      </c>
      <c r="H6" s="66" t="str">
        <f aca="false" t="array" ref="H6:H6">_xlfn.TEXTJOIN(", ",TRUE(),IF((Data!$A$3:$A$278=$E6)*(Data!$L$3:$L$278=0),Data!$C$3:$C$278,""))</f>
        <v>Spring_Onion</v>
      </c>
      <c r="L6" s="0" t="s">
        <v>41</v>
      </c>
      <c r="M6" s="0" t="n">
        <f aca="false">SUMIFS(Data!$L$3:$L$278,Data!$A$3:$A$278,$L6)/COUNTIFS(Data!$A$3:$A$278,$L6)</f>
        <v>0.833333333333333</v>
      </c>
      <c r="N6" s="0" t="n">
        <f aca="false">$M6+ROW()/1000000</f>
        <v>0.833339333333333</v>
      </c>
    </row>
    <row r="7" customFormat="false" ht="15" hidden="false" customHeight="false" outlineLevel="0" collapsed="false">
      <c r="A7" s="16" t="str">
        <f aca="false">IF(INDEX(Pantry!$I$7:$I$68,MATCH($B7,Pantry!$A$7:$A$68,0))&gt;0,"☑","☐")</f>
        <v>☑</v>
      </c>
      <c r="B7" s="35" t="s">
        <v>259</v>
      </c>
      <c r="D7" s="11" t="n">
        <v>4</v>
      </c>
      <c r="E7" s="65" t="str">
        <f aca="false">INDEX($L$4:$L$25,MATCH(LARGE($N$4:$N$25,$D7),$N$4:$N$25,0))</f>
        <v>R013</v>
      </c>
      <c r="F7" s="13" t="str">
        <f aca="false">VLOOKUP($E7,Lists!$A$2:$B$23,2,0)</f>
        <v>Bhindi (Masala Aloo Bhindi)</v>
      </c>
      <c r="G7" s="14" t="n">
        <f aca="false">INDEX($M$4:$M$25,MATCH($E7,$L$4:$L$25,0))</f>
        <v>0.916666666666667</v>
      </c>
      <c r="H7" s="66" t="str">
        <f aca="false" t="array" ref="H7:H7">_xlfn.TEXTJOIN(", ",TRUE(),IF((Data!$A$3:$A$278=$E7)*(Data!$L$3:$L$278=0),Data!$C$3:$C$278,""))</f>
        <v>Okra_Bhindi</v>
      </c>
      <c r="L7" s="0" t="s">
        <v>46</v>
      </c>
      <c r="M7" s="0" t="n">
        <f aca="false">SUMIFS(Data!$L$3:$L$278,Data!$A$3:$A$278,$L7)/COUNTIFS(Data!$A$3:$A$278,$L7)</f>
        <v>0.857142857142857</v>
      </c>
      <c r="N7" s="0" t="n">
        <f aca="false">$M7+ROW()/1000000</f>
        <v>0.857149857142857</v>
      </c>
    </row>
    <row r="8" customFormat="false" ht="15" hidden="false" customHeight="false" outlineLevel="0" collapsed="false">
      <c r="A8" s="16" t="str">
        <f aca="false">IF(INDEX(Pantry!$I$7:$I$68,MATCH($B8,Pantry!$A$7:$A$68,0))&gt;0,"☑","☐")</f>
        <v>☐</v>
      </c>
      <c r="B8" s="35" t="s">
        <v>264</v>
      </c>
      <c r="D8" s="11" t="n">
        <v>5</v>
      </c>
      <c r="E8" s="65" t="str">
        <f aca="false">INDEX($L$4:$L$25,MATCH(LARGE($N$4:$N$25,$D8),$N$4:$N$25,0))</f>
        <v>R011</v>
      </c>
      <c r="F8" s="13" t="str">
        <f aca="false">VLOOKUP($E8,Lists!$A$2:$B$23,2,0)</f>
        <v>One Pot Spicy Pasta</v>
      </c>
      <c r="G8" s="14" t="n">
        <f aca="false">INDEX($M$4:$M$25,MATCH($E8,$L$4:$L$25,0))</f>
        <v>0.916666666666667</v>
      </c>
      <c r="H8" s="66" t="str">
        <f aca="false" t="array" ref="H8:H8">_xlfn.TEXTJOIN(", ",TRUE(),IF((Data!$A$3:$A$278=$E8)*(Data!$L$3:$L$278=0),Data!$C$3:$C$278,""))</f>
        <v>Pasta</v>
      </c>
      <c r="L8" s="0" t="s">
        <v>51</v>
      </c>
      <c r="M8" s="0" t="n">
        <f aca="false">SUMIFS(Data!$L$3:$L$278,Data!$A$3:$A$278,$L8)/COUNTIFS(Data!$A$3:$A$278,$L8)</f>
        <v>0.833333333333333</v>
      </c>
      <c r="N8" s="0" t="n">
        <f aca="false">$M8+ROW()/1000000</f>
        <v>0.833341333333333</v>
      </c>
    </row>
    <row r="9" customFormat="false" ht="15" hidden="false" customHeight="false" outlineLevel="0" collapsed="false">
      <c r="A9" s="16" t="str">
        <f aca="false">IF(INDEX(Pantry!$I$7:$I$68,MATCH($B9,Pantry!$A$7:$A$68,0))&gt;0,"☑","☐")</f>
        <v>☑</v>
      </c>
      <c r="B9" s="35" t="s">
        <v>242</v>
      </c>
      <c r="D9" s="16" t="n">
        <v>6</v>
      </c>
      <c r="E9" s="45" t="str">
        <f aca="false">INDEX($L$4:$L$25,MATCH(LARGE($N$4:$N$25,$D9),$N$4:$N$25,0))</f>
        <v>R006c</v>
      </c>
      <c r="F9" s="18" t="str">
        <f aca="false">VLOOKUP($E9,Lists!$A$2:$B$23,2,0)</f>
        <v>Daal Masoor (Malka)</v>
      </c>
      <c r="G9" s="19" t="n">
        <f aca="false">INDEX($M$4:$M$25,MATCH($E9,$L$4:$L$25,0))</f>
        <v>0.916666666666667</v>
      </c>
      <c r="H9" s="66" t="str">
        <f aca="false" t="array" ref="H9:H9">_xlfn.TEXTJOIN(", ",TRUE(),IF((Data!$A$3:$A$278=$E9)*(Data!$L$3:$L$278=0),Data!$C$3:$C$278,""))</f>
        <v>Masoor_Daal</v>
      </c>
      <c r="L9" s="0" t="s">
        <v>55</v>
      </c>
      <c r="M9" s="0" t="n">
        <f aca="false">SUMIFS(Data!$L$3:$L$278,Data!$A$3:$A$278,$L9)/COUNTIFS(Data!$A$3:$A$278,$L9)</f>
        <v>1</v>
      </c>
      <c r="N9" s="0" t="n">
        <f aca="false">$M9+ROW()/1000000</f>
        <v>1.000009</v>
      </c>
    </row>
    <row r="10" customFormat="false" ht="15" hidden="false" customHeight="false" outlineLevel="0" collapsed="false">
      <c r="A10" s="16" t="str">
        <f aca="false">IF(INDEX(Pantry!$I$7:$I$68,MATCH($B10,Pantry!$A$7:$A$68,0))&gt;0,"☑","☐")</f>
        <v>☑</v>
      </c>
      <c r="B10" s="35" t="s">
        <v>219</v>
      </c>
      <c r="D10" s="16" t="n">
        <v>7</v>
      </c>
      <c r="E10" s="45" t="str">
        <f aca="false">INDEX($L$4:$L$25,MATCH(LARGE($N$4:$N$25,$D10),$N$4:$N$25,0))</f>
        <v>R006b</v>
      </c>
      <c r="F10" s="18" t="str">
        <f aca="false">VLOOKUP($E10,Lists!$A$2:$B$23,2,0)</f>
        <v>Daal Mash with Tadka</v>
      </c>
      <c r="G10" s="19" t="n">
        <f aca="false">INDEX($M$4:$M$25,MATCH($E10,$L$4:$L$25,0))</f>
        <v>0.916666666666667</v>
      </c>
      <c r="H10" s="66" t="str">
        <f aca="false" t="array" ref="H10:H10">_xlfn.TEXTJOIN(", ",TRUE(),IF((Data!$A$3:$A$278=$E10)*(Data!$L$3:$L$278=0),Data!$C$3:$C$278,""))</f>
        <v>Mash_Daal</v>
      </c>
      <c r="L10" s="0" t="s">
        <v>59</v>
      </c>
      <c r="M10" s="0" t="n">
        <f aca="false">SUMIFS(Data!$L$3:$L$278,Data!$A$3:$A$278,$L10)/COUNTIFS(Data!$A$3:$A$278,$L10)</f>
        <v>0.916666666666667</v>
      </c>
      <c r="N10" s="0" t="n">
        <f aca="false">$M10+ROW()/1000000</f>
        <v>0.916676666666667</v>
      </c>
    </row>
    <row r="11" customFormat="false" ht="15" hidden="false" customHeight="false" outlineLevel="0" collapsed="false">
      <c r="A11" s="16" t="str">
        <f aca="false">IF(INDEX(Pantry!$I$7:$I$68,MATCH($B11,Pantry!$A$7:$A$68,0))&gt;0,"☑","☐")</f>
        <v>☑</v>
      </c>
      <c r="B11" s="35" t="s">
        <v>236</v>
      </c>
      <c r="D11" s="16" t="n">
        <v>8</v>
      </c>
      <c r="E11" s="45" t="str">
        <f aca="false">INDEX($L$4:$L$25,MATCH(LARGE($N$4:$N$25,$D11),$N$4:$N$25,0))</f>
        <v>R017</v>
      </c>
      <c r="F11" s="18" t="str">
        <f aca="false">VLOOKUP($E11,Lists!$A$2:$B$23,2,0)</f>
        <v>Qeema (Dhaba Style Aloo Qeema)</v>
      </c>
      <c r="G11" s="19" t="n">
        <f aca="false">INDEX($M$4:$M$25,MATCH($E11,$L$4:$L$25,0))</f>
        <v>0.866666666666667</v>
      </c>
      <c r="H11" s="66" t="str">
        <f aca="false" t="array" ref="H11:H11">_xlfn.TEXTJOIN(", ",TRUE(),IF((Data!$A$3:$A$278=$E11)*(Data!$L$3:$L$278=0),Data!$C$3:$C$278,""))</f>
        <v>Ginger_Garlic_Paste, Kashmiri_Red_Chilli_Powder</v>
      </c>
      <c r="L11" s="0" t="s">
        <v>63</v>
      </c>
      <c r="M11" s="0" t="n">
        <f aca="false">SUMIFS(Data!$L$3:$L$278,Data!$A$3:$A$278,$L11)/COUNTIFS(Data!$A$3:$A$278,$L11)</f>
        <v>0.916666666666667</v>
      </c>
      <c r="N11" s="0" t="n">
        <f aca="false">$M11+ROW()/1000000</f>
        <v>0.916677666666667</v>
      </c>
    </row>
    <row r="12" customFormat="false" ht="15" hidden="false" customHeight="false" outlineLevel="0" collapsed="false">
      <c r="A12" s="16" t="str">
        <f aca="false">IF(INDEX(Pantry!$I$7:$I$68,MATCH($B12,Pantry!$A$7:$A$68,0))&gt;0,"☑","☐")</f>
        <v>☑</v>
      </c>
      <c r="B12" s="35" t="s">
        <v>220</v>
      </c>
      <c r="D12" s="16" t="n">
        <v>9</v>
      </c>
      <c r="E12" s="45" t="str">
        <f aca="false">INDEX($L$4:$L$25,MATCH(LARGE($N$4:$N$25,$D12),$N$4:$N$25,0))</f>
        <v>R008</v>
      </c>
      <c r="F12" s="18" t="str">
        <f aca="false">VLOOKUP($E12,Lists!$A$2:$B$23,2,0)</f>
        <v>Shami Kabab</v>
      </c>
      <c r="G12" s="19" t="n">
        <f aca="false">INDEX($M$4:$M$25,MATCH($E12,$L$4:$L$25,0))</f>
        <v>0.866666666666667</v>
      </c>
      <c r="H12" s="66" t="str">
        <f aca="false" t="array" ref="H12:H12">_xlfn.TEXTJOIN(", ",TRUE(),IF((Data!$A$3:$A$278=$E12)*(Data!$L$3:$L$278=0),Data!$C$3:$C$278,""))</f>
        <v>Ginger_Garlic_Paste, Mint</v>
      </c>
      <c r="L12" s="0" t="s">
        <v>67</v>
      </c>
      <c r="M12" s="0" t="n">
        <f aca="false">SUMIFS(Data!$L$3:$L$278,Data!$A$3:$A$278,$L12)/COUNTIFS(Data!$A$3:$A$278,$L12)</f>
        <v>0.785714285714286</v>
      </c>
      <c r="N12" s="0" t="n">
        <f aca="false">$M12+ROW()/1000000</f>
        <v>0.785726285714286</v>
      </c>
    </row>
    <row r="13" customFormat="false" ht="15" hidden="false" customHeight="false" outlineLevel="0" collapsed="false">
      <c r="A13" s="16" t="str">
        <f aca="false">IF(INDEX(Pantry!$I$7:$I$68,MATCH($B13,Pantry!$A$7:$A$68,0))&gt;0,"☑","☐")</f>
        <v>☑</v>
      </c>
      <c r="B13" s="35" t="s">
        <v>221</v>
      </c>
      <c r="D13" s="16" t="n">
        <v>10</v>
      </c>
      <c r="E13" s="45" t="str">
        <f aca="false">INDEX($L$4:$L$25,MATCH(LARGE($N$4:$N$25,$D13),$N$4:$N$25,0))</f>
        <v>R014</v>
      </c>
      <c r="F13" s="18" t="str">
        <f aca="false">VLOOKUP($E13,Lists!$A$2:$B$23,2,0)</f>
        <v>Gobi Masala (Dhaba Style)</v>
      </c>
      <c r="G13" s="19" t="n">
        <f aca="false">INDEX($M$4:$M$25,MATCH($E13,$L$4:$L$25,0))</f>
        <v>0.857142857142857</v>
      </c>
      <c r="H13" s="66" t="str">
        <f aca="false" t="array" ref="H13:H13">_xlfn.TEXTJOIN(", ",TRUE(),IF((Data!$A$3:$A$278=$E13)*(Data!$L$3:$L$278=0),Data!$C$3:$C$278,""))</f>
        <v>Cauliflower_Gobi, Ginger_Garlic_Paste</v>
      </c>
      <c r="L13" s="0" t="s">
        <v>71</v>
      </c>
      <c r="M13" s="0" t="n">
        <f aca="false">SUMIFS(Data!$L$3:$L$278,Data!$A$3:$A$278,$L13)/COUNTIFS(Data!$A$3:$A$278,$L13)</f>
        <v>0.866666666666667</v>
      </c>
      <c r="N13" s="0" t="n">
        <f aca="false">$M13+ROW()/1000000</f>
        <v>0.866679666666667</v>
      </c>
    </row>
    <row r="14" customFormat="false" ht="15" hidden="false" customHeight="false" outlineLevel="0" collapsed="false">
      <c r="A14" s="16" t="str">
        <f aca="false">IF(INDEX(Pantry!$I$7:$I$68,MATCH($B14,Pantry!$A$7:$A$68,0))&gt;0,"☑","☐")</f>
        <v>☐</v>
      </c>
      <c r="B14" s="35" t="s">
        <v>217</v>
      </c>
      <c r="D14" s="16" t="n">
        <v>11</v>
      </c>
      <c r="E14" s="45" t="str">
        <f aca="false">INDEX($L$4:$L$25,MATCH(LARGE($N$4:$N$25,$D14),$N$4:$N$25,0))</f>
        <v>R009</v>
      </c>
      <c r="F14" s="18" t="str">
        <f aca="false">VLOOKUP($E14,Lists!$A$2:$B$23,2,0)</f>
        <v>Chicken Manchurian</v>
      </c>
      <c r="G14" s="19" t="n">
        <f aca="false">INDEX($M$4:$M$25,MATCH($E14,$L$4:$L$25,0))</f>
        <v>0.857142857142857</v>
      </c>
      <c r="H14" s="66" t="str">
        <f aca="false" t="array" ref="H14:H14">_xlfn.TEXTJOIN(", ",TRUE(),IF((Data!$A$3:$A$278=$E14)*(Data!$L$3:$L$278=0),Data!$C$3:$C$278,""))</f>
        <v>Chilli_Garlic_Sauce, Spring_Onion</v>
      </c>
      <c r="L14" s="0" t="s">
        <v>75</v>
      </c>
      <c r="M14" s="0" t="n">
        <f aca="false">SUMIFS(Data!$L$3:$L$278,Data!$A$3:$A$278,$L14)/COUNTIFS(Data!$A$3:$A$278,$L14)</f>
        <v>0.857142857142857</v>
      </c>
      <c r="N14" s="0" t="n">
        <f aca="false">$M14+ROW()/1000000</f>
        <v>0.857156857142857</v>
      </c>
    </row>
    <row r="15" customFormat="false" ht="15" hidden="false" customHeight="false" outlineLevel="0" collapsed="false">
      <c r="A15" s="16" t="str">
        <f aca="false">IF(INDEX(Pantry!$I$7:$I$68,MATCH($B15,Pantry!$A$7:$A$68,0))&gt;0,"☑","☐")</f>
        <v>☐</v>
      </c>
      <c r="B15" s="35" t="s">
        <v>273</v>
      </c>
      <c r="D15" s="16" t="n">
        <v>12</v>
      </c>
      <c r="E15" s="45" t="str">
        <f aca="false">INDEX($L$4:$L$25,MATCH(LARGE($N$4:$N$25,$D15),$N$4:$N$25,0))</f>
        <v>R004</v>
      </c>
      <c r="F15" s="18" t="str">
        <f aca="false">VLOOKUP($E15,Lists!$A$2:$B$23,2,0)</f>
        <v>Chicken Karahi (Fire)</v>
      </c>
      <c r="G15" s="19" t="n">
        <f aca="false">INDEX($M$4:$M$25,MATCH($E15,$L$4:$L$25,0))</f>
        <v>0.857142857142857</v>
      </c>
      <c r="H15" s="66" t="str">
        <f aca="false" t="array" ref="H15:H15">_xlfn.TEXTJOIN(", ",TRUE(),IF((Data!$A$3:$A$278=$E15)*(Data!$L$3:$L$278=0),Data!$C$3:$C$278,""))</f>
        <v>Tomato, Ginger_Garlic_Paste</v>
      </c>
      <c r="L15" s="0" t="s">
        <v>79</v>
      </c>
      <c r="M15" s="0" t="n">
        <f aca="false">SUMIFS(Data!$L$3:$L$278,Data!$A$3:$A$278,$L15)/COUNTIFS(Data!$A$3:$A$278,$L15)</f>
        <v>0.818181818181818</v>
      </c>
      <c r="N15" s="0" t="n">
        <f aca="false">$M15+ROW()/1000000</f>
        <v>0.818196818181818</v>
      </c>
    </row>
    <row r="16" customFormat="false" ht="15" hidden="false" customHeight="false" outlineLevel="0" collapsed="false">
      <c r="A16" s="16" t="str">
        <f aca="false">IF(INDEX(Pantry!$I$7:$I$68,MATCH($B16,Pantry!$A$7:$A$68,0))&gt;0,"☑","☐")</f>
        <v>☐</v>
      </c>
      <c r="B16" s="35" t="s">
        <v>263</v>
      </c>
      <c r="D16" s="16" t="n">
        <v>13</v>
      </c>
      <c r="E16" s="45" t="str">
        <f aca="false">INDEX($L$4:$L$25,MATCH(LARGE($N$4:$N$25,$D16),$N$4:$N$25,0))</f>
        <v>R015</v>
      </c>
      <c r="F16" s="18" t="str">
        <f aca="false">VLOOKUP($E16,Lists!$A$2:$B$23,2,0)</f>
        <v>Karela (Qeema Karelay)</v>
      </c>
      <c r="G16" s="19" t="n">
        <f aca="false">INDEX($M$4:$M$25,MATCH($E16,$L$4:$L$25,0))</f>
        <v>0.833333333333333</v>
      </c>
      <c r="H16" s="66" t="str">
        <f aca="false" t="array" ref="H16:H16">_xlfn.TEXTJOIN(", ",TRUE(),IF((Data!$A$3:$A$278=$E16)*(Data!$L$3:$L$278=0),Data!$C$3:$C$278,""))</f>
        <v>Bitter_Gourd_Karela, Ginger_Garlic_Paste</v>
      </c>
      <c r="L16" s="0" t="s">
        <v>83</v>
      </c>
      <c r="M16" s="0" t="n">
        <f aca="false">SUMIFS(Data!$L$3:$L$278,Data!$A$3:$A$278,$L16)/COUNTIFS(Data!$A$3:$A$278,$L16)</f>
        <v>0.916666666666667</v>
      </c>
      <c r="N16" s="0" t="n">
        <f aca="false">$M16+ROW()/1000000</f>
        <v>0.916682666666667</v>
      </c>
    </row>
    <row r="17" customFormat="false" ht="15" hidden="false" customHeight="false" outlineLevel="0" collapsed="false">
      <c r="A17" s="16" t="str">
        <f aca="false">IF(INDEX(Pantry!$I$7:$I$68,MATCH($B17,Pantry!$A$7:$A$68,0))&gt;0,"☑","☐")</f>
        <v>☑</v>
      </c>
      <c r="B17" s="35" t="s">
        <v>208</v>
      </c>
      <c r="D17" s="16" t="n">
        <v>14</v>
      </c>
      <c r="E17" s="45" t="str">
        <f aca="false">INDEX($L$4:$L$25,MATCH(LARGE($N$4:$N$25,$D17),$N$4:$N$25,0))</f>
        <v>R005</v>
      </c>
      <c r="F17" s="18" t="str">
        <f aca="false">VLOOKUP($E17,Lists!$A$2:$B$23,2,0)</f>
        <v>Chicken Qorma</v>
      </c>
      <c r="G17" s="19" t="n">
        <f aca="false">INDEX($M$4:$M$25,MATCH($E17,$L$4:$L$25,0))</f>
        <v>0.833333333333333</v>
      </c>
      <c r="H17" s="66" t="str">
        <f aca="false" t="array" ref="H17:H17">_xlfn.TEXTJOIN(", ",TRUE(),IF((Data!$A$3:$A$278=$E17)*(Data!$L$3:$L$278=0),Data!$C$3:$C$278,""))</f>
        <v>Ginger_Garlic_Paste, Fried_Onion</v>
      </c>
      <c r="L17" s="0" t="s">
        <v>87</v>
      </c>
      <c r="M17" s="0" t="n">
        <f aca="false">SUMIFS(Data!$L$3:$L$278,Data!$A$3:$A$278,$L17)/COUNTIFS(Data!$A$3:$A$278,$L17)</f>
        <v>0.818181818181818</v>
      </c>
      <c r="N17" s="0" t="n">
        <f aca="false">$M17+ROW()/1000000</f>
        <v>0.818198818181818</v>
      </c>
    </row>
    <row r="18" customFormat="false" ht="15" hidden="false" customHeight="false" outlineLevel="0" collapsed="false">
      <c r="A18" s="16" t="str">
        <f aca="false">IF(INDEX(Pantry!$I$7:$I$68,MATCH($B18,Pantry!$A$7:$A$68,0))&gt;0,"☑","☐")</f>
        <v>☑</v>
      </c>
      <c r="B18" s="35" t="s">
        <v>247</v>
      </c>
      <c r="D18" s="16" t="n">
        <v>15</v>
      </c>
      <c r="E18" s="45" t="str">
        <f aca="false">INDEX($L$4:$L$25,MATCH(LARGE($N$4:$N$25,$D18),$N$4:$N$25,0))</f>
        <v>R003</v>
      </c>
      <c r="F18" s="18" t="str">
        <f aca="false">VLOOKUP($E18,Lists!$A$2:$B$23,2,0)</f>
        <v>Red Beans (Lal Lobia Masala)</v>
      </c>
      <c r="G18" s="19" t="n">
        <f aca="false">INDEX($M$4:$M$25,MATCH($E18,$L$4:$L$25,0))</f>
        <v>0.833333333333333</v>
      </c>
      <c r="H18" s="66" t="str">
        <f aca="false" t="array" ref="H18:H18">_xlfn.TEXTJOIN(", ",TRUE(),IF((Data!$A$3:$A$278=$E18)*(Data!$L$3:$L$278=0),Data!$C$3:$C$278,""))</f>
        <v>Red_Kidney_Beans, Ginger_Garlic_Paste</v>
      </c>
      <c r="L18" s="0" t="s">
        <v>91</v>
      </c>
      <c r="M18" s="0" t="n">
        <f aca="false">SUMIFS(Data!$L$3:$L$278,Data!$A$3:$A$278,$L18)/COUNTIFS(Data!$A$3:$A$278,$L18)</f>
        <v>0.916666666666667</v>
      </c>
      <c r="N18" s="0" t="n">
        <f aca="false">$M18+ROW()/1000000</f>
        <v>0.916684666666667</v>
      </c>
    </row>
    <row r="19" customFormat="false" ht="15" hidden="false" customHeight="false" outlineLevel="0" collapsed="false">
      <c r="A19" s="16" t="str">
        <f aca="false">IF(INDEX(Pantry!$I$7:$I$68,MATCH($B19,Pantry!$A$7:$A$68,0))&gt;0,"☑","☐")</f>
        <v>☑</v>
      </c>
      <c r="B19" s="35" t="s">
        <v>274</v>
      </c>
      <c r="D19" s="16" t="n">
        <v>16</v>
      </c>
      <c r="E19" s="45" t="str">
        <f aca="false">INDEX($L$4:$L$25,MATCH(LARGE($N$4:$N$25,$D19),$N$4:$N$25,0))</f>
        <v>R002</v>
      </c>
      <c r="F19" s="18" t="str">
        <f aca="false">VLOOKUP($E19,Lists!$A$2:$B$23,2,0)</f>
        <v>Chicken Yakhni Pulao</v>
      </c>
      <c r="G19" s="19" t="n">
        <f aca="false">INDEX($M$4:$M$25,MATCH($E19,$L$4:$L$25,0))</f>
        <v>0.833333333333333</v>
      </c>
      <c r="H19" s="66" t="str">
        <f aca="false" t="array" ref="H19:H19">_xlfn.TEXTJOIN(", ",TRUE(),IF((Data!$A$3:$A$278=$E19)*(Data!$L$3:$L$278=0),Data!$C$3:$C$278,""))</f>
        <v>Fennel_Seeds, Ginger_Garlic_Paste</v>
      </c>
      <c r="L19" s="0" t="s">
        <v>95</v>
      </c>
      <c r="M19" s="0" t="n">
        <f aca="false">SUMIFS(Data!$L$3:$L$278,Data!$A$3:$A$278,$L19)/COUNTIFS(Data!$A$3:$A$278,$L19)</f>
        <v>0.857142857142857</v>
      </c>
      <c r="N19" s="0" t="n">
        <f aca="false">$M19+ROW()/1000000</f>
        <v>0.857161857142857</v>
      </c>
    </row>
    <row r="20" customFormat="false" ht="15" hidden="false" customHeight="false" outlineLevel="0" collapsed="false">
      <c r="A20" s="16" t="str">
        <f aca="false">IF(INDEX(Pantry!$I$7:$I$68,MATCH($B20,Pantry!$A$7:$A$68,0))&gt;0,"☑","☐")</f>
        <v>☐</v>
      </c>
      <c r="B20" s="35" t="s">
        <v>258</v>
      </c>
      <c r="D20" s="16" t="n">
        <v>17</v>
      </c>
      <c r="E20" s="45" t="str">
        <f aca="false">INDEX($L$4:$L$25,MATCH(LARGE($N$4:$N$25,$D20),$N$4:$N$25,0))</f>
        <v>R012</v>
      </c>
      <c r="F20" s="18" t="str">
        <f aca="false">VLOOKUP($E20,Lists!$A$2:$B$23,2,0)</f>
        <v>Chicken Macaroni (Korma-style)</v>
      </c>
      <c r="G20" s="19" t="n">
        <f aca="false">INDEX($M$4:$M$25,MATCH($E20,$L$4:$L$25,0))</f>
        <v>0.818181818181818</v>
      </c>
      <c r="H20" s="66" t="str">
        <f aca="false" t="array" ref="H20:H20">_xlfn.TEXTJOIN(", ",TRUE(),IF((Data!$A$3:$A$278=$E20)*(Data!$L$3:$L$278=0),Data!$C$3:$C$278,""))</f>
        <v>Ginger_Garlic_Paste, Fried_Onion</v>
      </c>
      <c r="L20" s="0" t="s">
        <v>99</v>
      </c>
      <c r="M20" s="0" t="n">
        <f aca="false">SUMIFS(Data!$L$3:$L$278,Data!$A$3:$A$278,$L20)/COUNTIFS(Data!$A$3:$A$278,$L20)</f>
        <v>0.833333333333333</v>
      </c>
      <c r="N20" s="0" t="n">
        <f aca="false">$M20+ROW()/1000000</f>
        <v>0.833353333333333</v>
      </c>
    </row>
    <row r="21" customFormat="false" ht="15" hidden="false" customHeight="false" outlineLevel="0" collapsed="false">
      <c r="A21" s="16" t="str">
        <f aca="false">IF(INDEX(Pantry!$I$7:$I$68,MATCH($B21,Pantry!$A$7:$A$68,0))&gt;0,"☑","☐")</f>
        <v>☑</v>
      </c>
      <c r="B21" s="35" t="s">
        <v>210</v>
      </c>
      <c r="D21" s="16" t="n">
        <v>18</v>
      </c>
      <c r="E21" s="45" t="str">
        <f aca="false">INDEX($L$4:$L$25,MATCH(LARGE($N$4:$N$25,$D21),$N$4:$N$25,0))</f>
        <v>R010</v>
      </c>
      <c r="F21" s="18" t="str">
        <f aca="false">VLOOKUP($E21,Lists!$A$2:$B$23,2,0)</f>
        <v>Chinese Fried Rice</v>
      </c>
      <c r="G21" s="19" t="n">
        <f aca="false">INDEX($M$4:$M$25,MATCH($E21,$L$4:$L$25,0))</f>
        <v>0.818181818181818</v>
      </c>
      <c r="H21" s="66" t="str">
        <f aca="false" t="array" ref="H21:H21">_xlfn.TEXTJOIN(", ",TRUE(),IF((Data!$A$3:$A$278=$E21)*(Data!$L$3:$L$278=0),Data!$C$3:$C$278,""))</f>
        <v>Cabbage, Spring_Onion</v>
      </c>
      <c r="L21" s="0" t="s">
        <v>103</v>
      </c>
      <c r="M21" s="0" t="n">
        <f aca="false">SUMIFS(Data!$L$3:$L$278,Data!$A$3:$A$278,$L21)/COUNTIFS(Data!$A$3:$A$278,$L21)</f>
        <v>1</v>
      </c>
      <c r="N21" s="0" t="n">
        <f aca="false">$M21+ROW()/1000000</f>
        <v>1.000021</v>
      </c>
    </row>
    <row r="22" customFormat="false" ht="15" hidden="false" customHeight="false" outlineLevel="0" collapsed="false">
      <c r="A22" s="16" t="str">
        <f aca="false">IF(INDEX(Pantry!$I$7:$I$68,MATCH($B22,Pantry!$A$7:$A$68,0))&gt;0,"☑","☐")</f>
        <v>☐</v>
      </c>
      <c r="B22" s="35" t="s">
        <v>246</v>
      </c>
      <c r="D22" s="16" t="n">
        <v>19</v>
      </c>
      <c r="E22" s="45" t="str">
        <f aca="false">INDEX($L$4:$L$25,MATCH(LARGE($N$4:$N$25,$D22),$N$4:$N$25,0))</f>
        <v>R001</v>
      </c>
      <c r="F22" s="18" t="str">
        <f aca="false">VLOOKUP($E22,Lists!$A$2:$B$23,2,0)</f>
        <v>Chicken Biryani (Extreme)</v>
      </c>
      <c r="G22" s="19" t="n">
        <f aca="false">INDEX($M$4:$M$25,MATCH($E22,$L$4:$L$25,0))</f>
        <v>0.8</v>
      </c>
      <c r="H22" s="66" t="str">
        <f aca="false" t="array" ref="H22:H22">_xlfn.TEXTJOIN(", ",TRUE(),IF((Data!$A$3:$A$278=$E22)*(Data!$L$3:$L$278=0),Data!$C$3:$C$278,""))</f>
        <v>Ginger_Garlic_Paste, Mint, Fried_Onion</v>
      </c>
      <c r="L22" s="0" t="s">
        <v>107</v>
      </c>
      <c r="M22" s="0" t="n">
        <f aca="false">SUMIFS(Data!$L$3:$L$278,Data!$A$3:$A$278,$L22)/COUNTIFS(Data!$A$3:$A$278,$L22)</f>
        <v>0.866666666666667</v>
      </c>
      <c r="N22" s="0" t="n">
        <f aca="false">$M22+ROW()/1000000</f>
        <v>0.866688666666667</v>
      </c>
    </row>
    <row r="23" customFormat="false" ht="22.35" hidden="false" customHeight="false" outlineLevel="0" collapsed="false">
      <c r="A23" s="16" t="str">
        <f aca="false">IF(INDEX(Pantry!$I$7:$I$68,MATCH($B23,Pantry!$A$7:$A$68,0))&gt;0,"☑","☐")</f>
        <v>☑</v>
      </c>
      <c r="B23" s="35" t="s">
        <v>249</v>
      </c>
      <c r="D23" s="16" t="n">
        <v>20</v>
      </c>
      <c r="E23" s="45" t="str">
        <f aca="false">INDEX($L$4:$L$25,MATCH(LARGE($N$4:$N$25,$D23),$N$4:$N$25,0))</f>
        <v>R007</v>
      </c>
      <c r="F23" s="18" t="str">
        <f aca="false">VLOOKUP($E23,Lists!$A$2:$B$23,2,0)</f>
        <v>Beef Salan (Aloo Gosht, Delhi)</v>
      </c>
      <c r="G23" s="19" t="n">
        <f aca="false">INDEX($M$4:$M$25,MATCH($E23,$L$4:$L$25,0))</f>
        <v>0.785714285714286</v>
      </c>
      <c r="H23" s="66" t="str">
        <f aca="false" t="array" ref="H23:H23">_xlfn.TEXTJOIN(", ",TRUE(),IF((Data!$A$3:$A$278=$E23)*(Data!$L$3:$L$278=0),Data!$C$3:$C$278,""))</f>
        <v>Beef_Boneless, Ginger_Garlic_Paste, Kashmiri_Red_Chilli_Powder</v>
      </c>
      <c r="L23" s="0" t="s">
        <v>111</v>
      </c>
      <c r="M23" s="0" t="n">
        <f aca="false">SUMIFS(Data!$L$3:$L$278,Data!$A$3:$A$278,$L23)/COUNTIFS(Data!$A$3:$A$278,$L23)</f>
        <v>0.666666666666667</v>
      </c>
      <c r="N23" s="0" t="n">
        <f aca="false">$M23+ROW()/1000000</f>
        <v>0.666689666666667</v>
      </c>
    </row>
    <row r="24" customFormat="false" ht="15" hidden="false" customHeight="false" outlineLevel="0" collapsed="false">
      <c r="A24" s="16" t="str">
        <f aca="false">IF(INDEX(Pantry!$I$7:$I$68,MATCH($B24,Pantry!$A$7:$A$68,0))&gt;0,"☑","☐")</f>
        <v>☐</v>
      </c>
      <c r="B24" s="35" t="s">
        <v>268</v>
      </c>
      <c r="D24" s="16" t="n">
        <v>21</v>
      </c>
      <c r="E24" s="45" t="str">
        <f aca="false">INDEX($L$4:$L$25,MATCH(LARGE($N$4:$N$25,$D24),$N$4:$N$25,0))</f>
        <v>R020</v>
      </c>
      <c r="F24" s="18" t="str">
        <f aca="false">VLOOKUP($E24,Lists!$A$2:$B$23,2,0)</f>
        <v>Saag (Sarson Ka Saag)</v>
      </c>
      <c r="G24" s="19" t="n">
        <f aca="false">INDEX($M$4:$M$25,MATCH($E24,$L$4:$L$25,0))</f>
        <v>0.7</v>
      </c>
      <c r="H24" s="66" t="str">
        <f aca="false" t="array" ref="H24:H24">_xlfn.TEXTJOIN(", ",TRUE(),IF((Data!$A$3:$A$278=$E24)*(Data!$L$3:$L$278=0),Data!$C$3:$C$278,""))</f>
        <v>Mustard_Greens_Saag, Spinach, Maize_Flour_Makai</v>
      </c>
      <c r="L24" s="0" t="s">
        <v>115</v>
      </c>
      <c r="M24" s="0" t="n">
        <f aca="false">SUMIFS(Data!$L$3:$L$278,Data!$A$3:$A$278,$L24)/COUNTIFS(Data!$A$3:$A$278,$L24)</f>
        <v>0.916666666666667</v>
      </c>
      <c r="N24" s="0" t="n">
        <f aca="false">$M24+ROW()/1000000</f>
        <v>0.916690666666667</v>
      </c>
    </row>
    <row r="25" customFormat="false" ht="22.35" hidden="false" customHeight="false" outlineLevel="0" collapsed="false">
      <c r="A25" s="16" t="str">
        <f aca="false">IF(INDEX(Pantry!$I$7:$I$68,MATCH($B25,Pantry!$A$7:$A$68,0))&gt;0,"☑","☐")</f>
        <v>☑</v>
      </c>
      <c r="B25" s="35" t="s">
        <v>205</v>
      </c>
      <c r="D25" s="16" t="n">
        <v>22</v>
      </c>
      <c r="E25" s="45" t="str">
        <f aca="false">INDEX($L$4:$L$25,MATCH(LARGE($N$4:$N$25,$D25),$N$4:$N$25,0))</f>
        <v>R018</v>
      </c>
      <c r="F25" s="18" t="str">
        <f aca="false">VLOOKUP($E25,Lists!$A$2:$B$23,2,0)</f>
        <v>Beef Nihari</v>
      </c>
      <c r="G25" s="19" t="n">
        <f aca="false">INDEX($M$4:$M$25,MATCH($E25,$L$4:$L$25,0))</f>
        <v>0.666666666666667</v>
      </c>
      <c r="H25" s="66" t="str">
        <f aca="false" t="array" ref="H25:H25">_xlfn.TEXTJOIN(", ",TRUE(),IF((Data!$A$3:$A$278=$E25)*(Data!$L$3:$L$278=0),Data!$C$3:$C$278,""))</f>
        <v>Beef_Shank_with_Bones, Ginger_Garlic_Paste, Nihari_Masala, Lemon</v>
      </c>
      <c r="L25" s="0" t="s">
        <v>119</v>
      </c>
      <c r="M25" s="0" t="n">
        <f aca="false">SUMIFS(Data!$L$3:$L$278,Data!$A$3:$A$278,$L25)/COUNTIFS(Data!$A$3:$A$278,$L25)</f>
        <v>0.7</v>
      </c>
      <c r="N25" s="0" t="n">
        <f aca="false">$M25+ROW()/1000000</f>
        <v>0.700025</v>
      </c>
    </row>
    <row r="26" customFormat="false" ht="15" hidden="false" customHeight="false" outlineLevel="0" collapsed="false">
      <c r="A26" s="16" t="str">
        <f aca="false">IF(INDEX(Pantry!$I$7:$I$68,MATCH($B26,Pantry!$A$7:$A$68,0))&gt;0,"☑","☐")</f>
        <v>☑</v>
      </c>
      <c r="B26" s="35" t="s">
        <v>239</v>
      </c>
    </row>
    <row r="27" customFormat="false" ht="15" hidden="false" customHeight="false" outlineLevel="0" collapsed="false">
      <c r="A27" s="16" t="str">
        <f aca="false">IF(INDEX(Pantry!$I$7:$I$68,MATCH($B27,Pantry!$A$7:$A$68,0))&gt;0,"☑","☐")</f>
        <v>☑</v>
      </c>
      <c r="B27" s="35" t="s">
        <v>250</v>
      </c>
    </row>
    <row r="28" customFormat="false" ht="15" hidden="false" customHeight="false" outlineLevel="0" collapsed="false">
      <c r="A28" s="16" t="str">
        <f aca="false">IF(INDEX(Pantry!$I$7:$I$68,MATCH($B28,Pantry!$A$7:$A$68,0))&gt;0,"☑","☐")</f>
        <v>☑</v>
      </c>
      <c r="B28" s="35" t="s">
        <v>211</v>
      </c>
    </row>
    <row r="29" customFormat="false" ht="15" hidden="false" customHeight="false" outlineLevel="0" collapsed="false">
      <c r="A29" s="16" t="str">
        <f aca="false">IF(INDEX(Pantry!$I$7:$I$68,MATCH($B29,Pantry!$A$7:$A$68,0))&gt;0,"☑","☐")</f>
        <v>☑</v>
      </c>
      <c r="B29" s="35" t="s">
        <v>215</v>
      </c>
    </row>
    <row r="30" customFormat="false" ht="15" hidden="false" customHeight="false" outlineLevel="0" collapsed="false">
      <c r="A30" s="16" t="str">
        <f aca="false">IF(INDEX(Pantry!$I$7:$I$68,MATCH($B30,Pantry!$A$7:$A$68,0))&gt;0,"☑","☐")</f>
        <v>☑</v>
      </c>
      <c r="B30" s="35" t="s">
        <v>238</v>
      </c>
    </row>
    <row r="31" customFormat="false" ht="15" hidden="false" customHeight="false" outlineLevel="0" collapsed="false">
      <c r="A31" s="16" t="str">
        <f aca="false">IF(INDEX(Pantry!$I$7:$I$68,MATCH($B31,Pantry!$A$7:$A$68,0))&gt;0,"☑","☐")</f>
        <v>☑</v>
      </c>
      <c r="B31" s="35" t="s">
        <v>234</v>
      </c>
    </row>
    <row r="32" customFormat="false" ht="15" hidden="false" customHeight="false" outlineLevel="0" collapsed="false">
      <c r="A32" s="16" t="str">
        <f aca="false">IF(INDEX(Pantry!$I$7:$I$68,MATCH($B32,Pantry!$A$7:$A$68,0))&gt;0,"☑","☐")</f>
        <v>☑</v>
      </c>
      <c r="B32" s="35" t="s">
        <v>228</v>
      </c>
    </row>
    <row r="33" customFormat="false" ht="15" hidden="false" customHeight="false" outlineLevel="0" collapsed="false">
      <c r="A33" s="16" t="str">
        <f aca="false">IF(INDEX(Pantry!$I$7:$I$68,MATCH($B33,Pantry!$A$7:$A$68,0))&gt;0,"☑","☐")</f>
        <v>☑</v>
      </c>
      <c r="B33" s="35" t="s">
        <v>227</v>
      </c>
    </row>
    <row r="34" customFormat="false" ht="15" hidden="false" customHeight="false" outlineLevel="0" collapsed="false">
      <c r="A34" s="16" t="str">
        <f aca="false">IF(INDEX(Pantry!$I$7:$I$68,MATCH($B34,Pantry!$A$7:$A$68,0))&gt;0,"☑","☐")</f>
        <v>☑</v>
      </c>
      <c r="B34" s="35" t="s">
        <v>266</v>
      </c>
    </row>
    <row r="35" customFormat="false" ht="15" hidden="false" customHeight="false" outlineLevel="0" collapsed="false">
      <c r="A35" s="16" t="str">
        <f aca="false">IF(INDEX(Pantry!$I$7:$I$68,MATCH($B35,Pantry!$A$7:$A$68,0))&gt;0,"☑","☐")</f>
        <v>☑</v>
      </c>
      <c r="B35" s="35" t="s">
        <v>229</v>
      </c>
    </row>
    <row r="36" customFormat="false" ht="15" hidden="false" customHeight="false" outlineLevel="0" collapsed="false">
      <c r="A36" s="16" t="str">
        <f aca="false">IF(INDEX(Pantry!$I$7:$I$68,MATCH($B36,Pantry!$A$7:$A$68,0))&gt;0,"☑","☐")</f>
        <v>☑</v>
      </c>
      <c r="B36" s="35" t="s">
        <v>235</v>
      </c>
    </row>
    <row r="37" customFormat="false" ht="15" hidden="false" customHeight="false" outlineLevel="0" collapsed="false">
      <c r="A37" s="16" t="str">
        <f aca="false">IF(INDEX(Pantry!$I$7:$I$68,MATCH($B37,Pantry!$A$7:$A$68,0))&gt;0,"☑","☐")</f>
        <v>☐</v>
      </c>
      <c r="B37" s="35" t="s">
        <v>248</v>
      </c>
    </row>
    <row r="38" customFormat="false" ht="15" hidden="false" customHeight="false" outlineLevel="0" collapsed="false">
      <c r="A38" s="16" t="str">
        <f aca="false">IF(INDEX(Pantry!$I$7:$I$68,MATCH($B38,Pantry!$A$7:$A$68,0))&gt;0,"☑","☐")</f>
        <v>☐</v>
      </c>
      <c r="B38" s="35" t="s">
        <v>269</v>
      </c>
    </row>
    <row r="39" customFormat="false" ht="15" hidden="false" customHeight="false" outlineLevel="0" collapsed="false">
      <c r="A39" s="16" t="str">
        <f aca="false">IF(INDEX(Pantry!$I$7:$I$68,MATCH($B39,Pantry!$A$7:$A$68,0))&gt;0,"☑","☐")</f>
        <v>☑</v>
      </c>
      <c r="B39" s="35" t="s">
        <v>232</v>
      </c>
    </row>
    <row r="40" customFormat="false" ht="15" hidden="false" customHeight="false" outlineLevel="0" collapsed="false">
      <c r="A40" s="16" t="str">
        <f aca="false">IF(INDEX(Pantry!$I$7:$I$68,MATCH($B40,Pantry!$A$7:$A$68,0))&gt;0,"☑","☐")</f>
        <v>☑</v>
      </c>
      <c r="B40" s="35" t="s">
        <v>222</v>
      </c>
    </row>
    <row r="41" customFormat="false" ht="15" hidden="false" customHeight="false" outlineLevel="0" collapsed="false">
      <c r="A41" s="16" t="str">
        <f aca="false">IF(INDEX(Pantry!$I$7:$I$68,MATCH($B41,Pantry!$A$7:$A$68,0))&gt;0,"☑","☐")</f>
        <v>☑</v>
      </c>
      <c r="B41" s="35" t="s">
        <v>233</v>
      </c>
    </row>
    <row r="42" customFormat="false" ht="15" hidden="false" customHeight="false" outlineLevel="0" collapsed="false">
      <c r="A42" s="16" t="str">
        <f aca="false">IF(INDEX(Pantry!$I$7:$I$68,MATCH($B42,Pantry!$A$7:$A$68,0))&gt;0,"☑","☐")</f>
        <v>☑</v>
      </c>
      <c r="B42" s="35" t="s">
        <v>226</v>
      </c>
    </row>
    <row r="43" customFormat="false" ht="15" hidden="false" customHeight="false" outlineLevel="0" collapsed="false">
      <c r="A43" s="16" t="str">
        <f aca="false">IF(INDEX(Pantry!$I$7:$I$68,MATCH($B43,Pantry!$A$7:$A$68,0))&gt;0,"☑","☐")</f>
        <v>☑</v>
      </c>
      <c r="B43" s="35" t="s">
        <v>207</v>
      </c>
    </row>
    <row r="44" customFormat="false" ht="15" hidden="false" customHeight="false" outlineLevel="0" collapsed="false">
      <c r="A44" s="16" t="str">
        <f aca="false">IF(INDEX(Pantry!$I$7:$I$68,MATCH($B44,Pantry!$A$7:$A$68,0))&gt;0,"☑","☐")</f>
        <v>☑</v>
      </c>
      <c r="B44" s="35" t="s">
        <v>267</v>
      </c>
    </row>
    <row r="45" customFormat="false" ht="15" hidden="false" customHeight="false" outlineLevel="0" collapsed="false">
      <c r="A45" s="16" t="str">
        <f aca="false">IF(INDEX(Pantry!$I$7:$I$68,MATCH($B45,Pantry!$A$7:$A$68,0))&gt;0,"☑","☐")</f>
        <v>☑</v>
      </c>
      <c r="B45" s="35" t="s">
        <v>253</v>
      </c>
    </row>
    <row r="46" customFormat="false" ht="15" hidden="false" customHeight="false" outlineLevel="0" collapsed="false">
      <c r="A46" s="16" t="str">
        <f aca="false">IF(INDEX(Pantry!$I$7:$I$68,MATCH($B46,Pantry!$A$7:$A$68,0))&gt;0,"☑","☐")</f>
        <v>☑</v>
      </c>
      <c r="B46" s="35" t="s">
        <v>216</v>
      </c>
    </row>
    <row r="47" customFormat="false" ht="15" hidden="false" customHeight="false" outlineLevel="0" collapsed="false">
      <c r="A47" s="16" t="str">
        <f aca="false">IF(INDEX(Pantry!$I$7:$I$68,MATCH($B47,Pantry!$A$7:$A$68,0))&gt;0,"☑","☐")</f>
        <v>☑</v>
      </c>
      <c r="B47" s="35" t="s">
        <v>251</v>
      </c>
    </row>
    <row r="48" customFormat="false" ht="15" hidden="false" customHeight="false" outlineLevel="0" collapsed="false">
      <c r="A48" s="16" t="str">
        <f aca="false">IF(INDEX(Pantry!$I$7:$I$68,MATCH($B48,Pantry!$A$7:$A$68,0))&gt;0,"☑","☐")</f>
        <v>☐</v>
      </c>
      <c r="B48" s="35" t="s">
        <v>224</v>
      </c>
    </row>
    <row r="49" customFormat="false" ht="15" hidden="false" customHeight="false" outlineLevel="0" collapsed="false">
      <c r="A49" s="16" t="str">
        <f aca="false">IF(INDEX(Pantry!$I$7:$I$68,MATCH($B49,Pantry!$A$7:$A$68,0))&gt;0,"☑","☐")</f>
        <v>☑</v>
      </c>
      <c r="B49" s="35" t="s">
        <v>240</v>
      </c>
    </row>
    <row r="50" customFormat="false" ht="15" hidden="false" customHeight="false" outlineLevel="0" collapsed="false">
      <c r="A50" s="16" t="str">
        <f aca="false">IF(INDEX(Pantry!$I$7:$I$68,MATCH($B50,Pantry!$A$7:$A$68,0))&gt;0,"☑","☐")</f>
        <v>☑</v>
      </c>
      <c r="B50" s="35" t="s">
        <v>213</v>
      </c>
    </row>
    <row r="51" customFormat="false" ht="15" hidden="false" customHeight="false" outlineLevel="0" collapsed="false">
      <c r="A51" s="16" t="str">
        <f aca="false">IF(INDEX(Pantry!$I$7:$I$68,MATCH($B51,Pantry!$A$7:$A$68,0))&gt;0,"☑","☐")</f>
        <v>☑</v>
      </c>
      <c r="B51" s="35" t="s">
        <v>271</v>
      </c>
    </row>
    <row r="52" customFormat="false" ht="15" hidden="false" customHeight="false" outlineLevel="0" collapsed="false">
      <c r="A52" s="16" t="str">
        <f aca="false">IF(INDEX(Pantry!$I$7:$I$68,MATCH($B52,Pantry!$A$7:$A$68,0))&gt;0,"☑","☐")</f>
        <v>☑</v>
      </c>
      <c r="B52" s="35" t="s">
        <v>252</v>
      </c>
    </row>
    <row r="53" customFormat="false" ht="15" hidden="false" customHeight="false" outlineLevel="0" collapsed="false">
      <c r="A53" s="16" t="str">
        <f aca="false">IF(INDEX(Pantry!$I$7:$I$68,MATCH($B53,Pantry!$A$7:$A$68,0))&gt;0,"☑","☐")</f>
        <v>☑</v>
      </c>
      <c r="B53" s="35" t="s">
        <v>225</v>
      </c>
    </row>
    <row r="54" customFormat="false" ht="15" hidden="false" customHeight="false" outlineLevel="0" collapsed="false">
      <c r="A54" s="16" t="str">
        <f aca="false">IF(INDEX(Pantry!$I$7:$I$68,MATCH($B54,Pantry!$A$7:$A$68,0))&gt;0,"☑","☐")</f>
        <v>☑</v>
      </c>
      <c r="B54" s="35" t="s">
        <v>262</v>
      </c>
    </row>
    <row r="55" customFormat="false" ht="15" hidden="false" customHeight="false" outlineLevel="0" collapsed="false">
      <c r="A55" s="16" t="str">
        <f aca="false">IF(INDEX(Pantry!$I$7:$I$68,MATCH($B55,Pantry!$A$7:$A$68,0))&gt;0,"☑","☐")</f>
        <v>☐</v>
      </c>
      <c r="B55" s="35" t="s">
        <v>275</v>
      </c>
    </row>
    <row r="56" customFormat="false" ht="15" hidden="false" customHeight="false" outlineLevel="0" collapsed="false">
      <c r="A56" s="16" t="str">
        <f aca="false">IF(INDEX(Pantry!$I$7:$I$68,MATCH($B56,Pantry!$A$7:$A$68,0))&gt;0,"☑","☐")</f>
        <v>☐</v>
      </c>
      <c r="B56" s="35" t="s">
        <v>261</v>
      </c>
    </row>
    <row r="57" customFormat="false" ht="15" hidden="false" customHeight="false" outlineLevel="0" collapsed="false">
      <c r="A57" s="16" t="str">
        <f aca="false">IF(INDEX(Pantry!$I$7:$I$68,MATCH($B57,Pantry!$A$7:$A$68,0))&gt;0,"☑","☐")</f>
        <v>☑</v>
      </c>
      <c r="B57" s="35" t="s">
        <v>254</v>
      </c>
    </row>
    <row r="58" customFormat="false" ht="15" hidden="false" customHeight="false" outlineLevel="0" collapsed="false">
      <c r="A58" s="16" t="str">
        <f aca="false">IF(INDEX(Pantry!$I$7:$I$68,MATCH($B58,Pantry!$A$7:$A$68,0))&gt;0,"☑","☐")</f>
        <v>☑</v>
      </c>
      <c r="B58" s="35" t="s">
        <v>256</v>
      </c>
    </row>
    <row r="59" customFormat="false" ht="15" hidden="false" customHeight="false" outlineLevel="0" collapsed="false">
      <c r="A59" s="16" t="str">
        <f aca="false">IF(INDEX(Pantry!$I$7:$I$68,MATCH($B59,Pantry!$A$7:$A$68,0))&gt;0,"☑","☐")</f>
        <v>☑</v>
      </c>
      <c r="B59" s="35" t="s">
        <v>255</v>
      </c>
    </row>
    <row r="60" customFormat="false" ht="15" hidden="false" customHeight="false" outlineLevel="0" collapsed="false">
      <c r="A60" s="16" t="str">
        <f aca="false">IF(INDEX(Pantry!$I$7:$I$68,MATCH($B60,Pantry!$A$7:$A$68,0))&gt;0,"☑","☐")</f>
        <v>☑</v>
      </c>
      <c r="B60" s="35" t="s">
        <v>270</v>
      </c>
    </row>
    <row r="61" customFormat="false" ht="15" hidden="false" customHeight="false" outlineLevel="0" collapsed="false">
      <c r="A61" s="16" t="str">
        <f aca="false">IF(INDEX(Pantry!$I$7:$I$68,MATCH($B61,Pantry!$A$7:$A$68,0))&gt;0,"☑","☐")</f>
        <v>☑</v>
      </c>
      <c r="B61" s="35" t="s">
        <v>241</v>
      </c>
    </row>
    <row r="62" customFormat="false" ht="15" hidden="false" customHeight="false" outlineLevel="0" collapsed="false">
      <c r="A62" s="16" t="str">
        <f aca="false">IF(INDEX(Pantry!$I$7:$I$68,MATCH($B62,Pantry!$A$7:$A$68,0))&gt;0,"☑","☐")</f>
        <v>☑</v>
      </c>
      <c r="B62" s="35" t="s">
        <v>244</v>
      </c>
    </row>
    <row r="63" customFormat="false" ht="15" hidden="false" customHeight="false" outlineLevel="0" collapsed="false">
      <c r="A63" s="16" t="str">
        <f aca="false">IF(INDEX(Pantry!$I$7:$I$68,MATCH($B63,Pantry!$A$7:$A$68,0))&gt;0,"☑","☐")</f>
        <v>☐</v>
      </c>
      <c r="B63" s="35" t="s">
        <v>245</v>
      </c>
    </row>
    <row r="64" customFormat="false" ht="15" hidden="false" customHeight="false" outlineLevel="0" collapsed="false">
      <c r="A64" s="16" t="str">
        <f aca="false">IF(INDEX(Pantry!$I$7:$I$68,MATCH($B64,Pantry!$A$7:$A$68,0))&gt;0,"☑","☐")</f>
        <v>☑</v>
      </c>
      <c r="B64" s="35" t="s">
        <v>272</v>
      </c>
    </row>
    <row r="65" customFormat="false" ht="15" hidden="false" customHeight="false" outlineLevel="0" collapsed="false">
      <c r="A65" s="16" t="str">
        <f aca="false">IF(INDEX(Pantry!$I$7:$I$68,MATCH($B65,Pantry!$A$7:$A$68,0))&gt;0,"☑","☐")</f>
        <v>☐</v>
      </c>
      <c r="B65" s="35" t="s">
        <v>230</v>
      </c>
    </row>
  </sheetData>
  <conditionalFormatting sqref="A4:B65">
    <cfRule type="expression" priority="2" aboveAverage="0" equalAverage="0" bottom="0" percent="0" rank="0" text="" dxfId="4">
      <formula>$A4="☑"</formula>
    </cfRule>
  </conditionalFormatting>
  <conditionalFormatting sqref="G4:G25">
    <cfRule type="colorScale" priority="3">
      <colorScale>
        <cfvo type="num" val="0"/>
        <cfvo type="num" val="0.7"/>
        <cfvo type="num" val="1"/>
        <color rgb="FFF8BBD0"/>
        <color rgb="FFFFF59D"/>
        <color rgb="FFA5D6A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043"/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23" t="s">
        <v>319</v>
      </c>
      <c r="C2" s="2"/>
      <c r="D2" s="2"/>
      <c r="E2" s="2"/>
      <c r="F2" s="2"/>
      <c r="G2" s="2"/>
    </row>
    <row r="3" customFormat="false" ht="15" hidden="false" customHeight="false" outlineLevel="0" collapsed="false">
      <c r="B3" s="67" t="s">
        <v>320</v>
      </c>
      <c r="C3" s="68"/>
      <c r="D3" s="68"/>
      <c r="E3" s="68"/>
    </row>
    <row r="4" customFormat="false" ht="15" hidden="false" customHeight="false" outlineLevel="0" collapsed="false">
      <c r="B4" s="69" t="s">
        <v>321</v>
      </c>
      <c r="C4" s="0" t="str">
        <f aca="false">IF($C$3="","",INDEX(Lists!$C$2:$C$23,MATCH($C$3,Lists!$B$2:$B$23,0))&amp;" persons")</f>
        <v/>
      </c>
      <c r="F4" s="70" t="str">
        <f aca="false">IF($C$3="","",HYPERLINK(INDEX(Lists!$E$2:$E$23,MATCH($C$3,Lists!$B$2:$B$23,0)),"&gt; WATCH VIDEO"))</f>
        <v/>
      </c>
    </row>
    <row r="5" customFormat="false" ht="15" hidden="false" customHeight="false" outlineLevel="0" collapsed="false">
      <c r="B5" s="69" t="s">
        <v>322</v>
      </c>
      <c r="C5" s="0" t="str">
        <f aca="false">IF($C$3="","",Home!$D$5&amp;" persons (change on Home)")</f>
        <v/>
      </c>
      <c r="F5" s="70" t="str">
        <f aca="false">IF($C$3="","",HYPERLINK(INDEX(Lists!$D$2:$D$23,MATCH($C$3,Lists!$B$2:$B$23,0)),"READ FULL RECIPE"))</f>
        <v/>
      </c>
    </row>
    <row r="6" customFormat="false" ht="15" hidden="false" customHeight="false" outlineLevel="0" collapsed="false">
      <c r="B6" s="69" t="s">
        <v>323</v>
      </c>
      <c r="C6" s="0" t="str">
        <f aca="false">IF($C$3="","",INDEX(Recipes!$D$6:$D$27,MATCH($C$3,Recipes!$B$6:$B$27,0)))</f>
        <v/>
      </c>
    </row>
    <row r="7" customFormat="false" ht="25.5" hidden="false" customHeight="true" outlineLevel="0" collapsed="false">
      <c r="B7" s="69" t="s">
        <v>324</v>
      </c>
      <c r="C7" s="71" t="str">
        <f aca="false">IF($C$3="","",INDEX(Recipes!$H$6:$H$27,MATCH($C$3,Recipes!$B$6:$B$27,0)))</f>
        <v/>
      </c>
      <c r="D7" s="71"/>
      <c r="E7" s="71"/>
      <c r="F7" s="71"/>
      <c r="G7" s="71"/>
    </row>
    <row r="9" customFormat="false" ht="15" hidden="false" customHeight="false" outlineLevel="0" collapsed="false">
      <c r="B9" s="10" t="s">
        <v>194</v>
      </c>
      <c r="C9" s="10" t="s">
        <v>325</v>
      </c>
      <c r="D9" s="10" t="s">
        <v>196</v>
      </c>
      <c r="E9" s="10" t="s">
        <v>326</v>
      </c>
      <c r="F9" s="10" t="s">
        <v>287</v>
      </c>
    </row>
    <row r="10" customFormat="false" ht="15" hidden="false" customHeight="false" outlineLevel="0" collapsed="false">
      <c r="B10" s="35" t="str">
        <f aca="false" t="array" ref="B10:B10">IFERROR(INDEX(Data!$C$3:$C$278,SMALL(IF(Data!$B$3:$B$278=$C$3,ROW(Data!$B$3:$B$278)-2),1)),"")</f>
        <v/>
      </c>
      <c r="C10" s="35" t="str">
        <f aca="false">IF($B10="","",ROUND(SUMIFS(Data!$G$3:$G$278,Data!$B$3:$B$278,$C$3,Data!$C$3:$C$278,$B10)*Home!$D$5,2))</f>
        <v/>
      </c>
      <c r="D10" s="35" t="str">
        <f aca="false">IF($B10="","",VLOOKUP($B10,Pantry!$A$7:$C$68,3,0))</f>
        <v/>
      </c>
      <c r="E10" s="35" t="str">
        <f aca="false">IF($B10="","",VLOOKUP($B10,Pantry!$A$7:$I$68,9,0))</f>
        <v/>
      </c>
      <c r="F10" s="35" t="str">
        <f aca="false">IF($B10="","",IF($E10&gt;=$C10-0.0001,"☑ Have it","BUY "&amp;TEXT($C10-$E10,"0.##")&amp;" "&amp;$D10))</f>
        <v/>
      </c>
    </row>
    <row r="11" customFormat="false" ht="15" hidden="false" customHeight="false" outlineLevel="0" collapsed="false">
      <c r="B11" s="35" t="str">
        <f aca="false" t="array" ref="B11:B11">IFERROR(INDEX(Data!$C$3:$C$278,SMALL(IF(Data!$B$3:$B$278=$C$3,ROW(Data!$B$3:$B$278)-2),2)),"")</f>
        <v/>
      </c>
      <c r="C11" s="35" t="str">
        <f aca="false">IF($B11="","",ROUND(SUMIFS(Data!$G$3:$G$278,Data!$B$3:$B$278,$C$3,Data!$C$3:$C$278,$B11)*Home!$D$5,2))</f>
        <v/>
      </c>
      <c r="D11" s="35" t="str">
        <f aca="false">IF($B11="","",VLOOKUP($B11,Pantry!$A$7:$C$68,3,0))</f>
        <v/>
      </c>
      <c r="E11" s="35" t="str">
        <f aca="false">IF($B11="","",VLOOKUP($B11,Pantry!$A$7:$I$68,9,0))</f>
        <v/>
      </c>
      <c r="F11" s="35" t="str">
        <f aca="false">IF($B11="","",IF($E11&gt;=$C11-0.0001,"☑ Have it","BUY "&amp;TEXT($C11-$E11,"0.##")&amp;" "&amp;$D11))</f>
        <v/>
      </c>
    </row>
    <row r="12" customFormat="false" ht="15" hidden="false" customHeight="false" outlineLevel="0" collapsed="false">
      <c r="B12" s="35" t="str">
        <f aca="false" t="array" ref="B12:B12">IFERROR(INDEX(Data!$C$3:$C$278,SMALL(IF(Data!$B$3:$B$278=$C$3,ROW(Data!$B$3:$B$278)-2),3)),"")</f>
        <v/>
      </c>
      <c r="C12" s="35" t="str">
        <f aca="false">IF($B12="","",ROUND(SUMIFS(Data!$G$3:$G$278,Data!$B$3:$B$278,$C$3,Data!$C$3:$C$278,$B12)*Home!$D$5,2))</f>
        <v/>
      </c>
      <c r="D12" s="35" t="str">
        <f aca="false">IF($B12="","",VLOOKUP($B12,Pantry!$A$7:$C$68,3,0))</f>
        <v/>
      </c>
      <c r="E12" s="35" t="str">
        <f aca="false">IF($B12="","",VLOOKUP($B12,Pantry!$A$7:$I$68,9,0))</f>
        <v/>
      </c>
      <c r="F12" s="35" t="str">
        <f aca="false">IF($B12="","",IF($E12&gt;=$C12-0.0001,"☑ Have it","BUY "&amp;TEXT($C12-$E12,"0.##")&amp;" "&amp;$D12))</f>
        <v/>
      </c>
    </row>
    <row r="13" customFormat="false" ht="15" hidden="false" customHeight="false" outlineLevel="0" collapsed="false">
      <c r="B13" s="35" t="str">
        <f aca="false" t="array" ref="B13:B13">IFERROR(INDEX(Data!$C$3:$C$278,SMALL(IF(Data!$B$3:$B$278=$C$3,ROW(Data!$B$3:$B$278)-2),4)),"")</f>
        <v/>
      </c>
      <c r="C13" s="35" t="str">
        <f aca="false">IF($B13="","",ROUND(SUMIFS(Data!$G$3:$G$278,Data!$B$3:$B$278,$C$3,Data!$C$3:$C$278,$B13)*Home!$D$5,2))</f>
        <v/>
      </c>
      <c r="D13" s="35" t="str">
        <f aca="false">IF($B13="","",VLOOKUP($B13,Pantry!$A$7:$C$68,3,0))</f>
        <v/>
      </c>
      <c r="E13" s="35" t="str">
        <f aca="false">IF($B13="","",VLOOKUP($B13,Pantry!$A$7:$I$68,9,0))</f>
        <v/>
      </c>
      <c r="F13" s="35" t="str">
        <f aca="false">IF($B13="","",IF($E13&gt;=$C13-0.0001,"☑ Have it","BUY "&amp;TEXT($C13-$E13,"0.##")&amp;" "&amp;$D13))</f>
        <v/>
      </c>
    </row>
    <row r="14" customFormat="false" ht="15" hidden="false" customHeight="false" outlineLevel="0" collapsed="false">
      <c r="B14" s="35" t="str">
        <f aca="false" t="array" ref="B14:B14">IFERROR(INDEX(Data!$C$3:$C$278,SMALL(IF(Data!$B$3:$B$278=$C$3,ROW(Data!$B$3:$B$278)-2),5)),"")</f>
        <v/>
      </c>
      <c r="C14" s="35" t="str">
        <f aca="false">IF($B14="","",ROUND(SUMIFS(Data!$G$3:$G$278,Data!$B$3:$B$278,$C$3,Data!$C$3:$C$278,$B14)*Home!$D$5,2))</f>
        <v/>
      </c>
      <c r="D14" s="35" t="str">
        <f aca="false">IF($B14="","",VLOOKUP($B14,Pantry!$A$7:$C$68,3,0))</f>
        <v/>
      </c>
      <c r="E14" s="35" t="str">
        <f aca="false">IF($B14="","",VLOOKUP($B14,Pantry!$A$7:$I$68,9,0))</f>
        <v/>
      </c>
      <c r="F14" s="35" t="str">
        <f aca="false">IF($B14="","",IF($E14&gt;=$C14-0.0001,"☑ Have it","BUY "&amp;TEXT($C14-$E14,"0.##")&amp;" "&amp;$D14))</f>
        <v/>
      </c>
    </row>
    <row r="15" customFormat="false" ht="15" hidden="false" customHeight="false" outlineLevel="0" collapsed="false">
      <c r="B15" s="35" t="str">
        <f aca="false" t="array" ref="B15:B15">IFERROR(INDEX(Data!$C$3:$C$278,SMALL(IF(Data!$B$3:$B$278=$C$3,ROW(Data!$B$3:$B$278)-2),6)),"")</f>
        <v/>
      </c>
      <c r="C15" s="35" t="str">
        <f aca="false">IF($B15="","",ROUND(SUMIFS(Data!$G$3:$G$278,Data!$B$3:$B$278,$C$3,Data!$C$3:$C$278,$B15)*Home!$D$5,2))</f>
        <v/>
      </c>
      <c r="D15" s="35" t="str">
        <f aca="false">IF($B15="","",VLOOKUP($B15,Pantry!$A$7:$C$68,3,0))</f>
        <v/>
      </c>
      <c r="E15" s="35" t="str">
        <f aca="false">IF($B15="","",VLOOKUP($B15,Pantry!$A$7:$I$68,9,0))</f>
        <v/>
      </c>
      <c r="F15" s="35" t="str">
        <f aca="false">IF($B15="","",IF($E15&gt;=$C15-0.0001,"☑ Have it","BUY "&amp;TEXT($C15-$E15,"0.##")&amp;" "&amp;$D15))</f>
        <v/>
      </c>
    </row>
    <row r="16" customFormat="false" ht="15" hidden="false" customHeight="false" outlineLevel="0" collapsed="false">
      <c r="B16" s="35" t="str">
        <f aca="false" t="array" ref="B16:B16">IFERROR(INDEX(Data!$C$3:$C$278,SMALL(IF(Data!$B$3:$B$278=$C$3,ROW(Data!$B$3:$B$278)-2),7)),"")</f>
        <v/>
      </c>
      <c r="C16" s="35" t="str">
        <f aca="false">IF($B16="","",ROUND(SUMIFS(Data!$G$3:$G$278,Data!$B$3:$B$278,$C$3,Data!$C$3:$C$278,$B16)*Home!$D$5,2))</f>
        <v/>
      </c>
      <c r="D16" s="35" t="str">
        <f aca="false">IF($B16="","",VLOOKUP($B16,Pantry!$A$7:$C$68,3,0))</f>
        <v/>
      </c>
      <c r="E16" s="35" t="str">
        <f aca="false">IF($B16="","",VLOOKUP($B16,Pantry!$A$7:$I$68,9,0))</f>
        <v/>
      </c>
      <c r="F16" s="35" t="str">
        <f aca="false">IF($B16="","",IF($E16&gt;=$C16-0.0001,"☑ Have it","BUY "&amp;TEXT($C16-$E16,"0.##")&amp;" "&amp;$D16))</f>
        <v/>
      </c>
    </row>
    <row r="17" customFormat="false" ht="15" hidden="false" customHeight="false" outlineLevel="0" collapsed="false">
      <c r="B17" s="35" t="str">
        <f aca="false" t="array" ref="B17:B17">IFERROR(INDEX(Data!$C$3:$C$278,SMALL(IF(Data!$B$3:$B$278=$C$3,ROW(Data!$B$3:$B$278)-2),8)),"")</f>
        <v/>
      </c>
      <c r="C17" s="35" t="str">
        <f aca="false">IF($B17="","",ROUND(SUMIFS(Data!$G$3:$G$278,Data!$B$3:$B$278,$C$3,Data!$C$3:$C$278,$B17)*Home!$D$5,2))</f>
        <v/>
      </c>
      <c r="D17" s="35" t="str">
        <f aca="false">IF($B17="","",VLOOKUP($B17,Pantry!$A$7:$C$68,3,0))</f>
        <v/>
      </c>
      <c r="E17" s="35" t="str">
        <f aca="false">IF($B17="","",VLOOKUP($B17,Pantry!$A$7:$I$68,9,0))</f>
        <v/>
      </c>
      <c r="F17" s="35" t="str">
        <f aca="false">IF($B17="","",IF($E17&gt;=$C17-0.0001,"☑ Have it","BUY "&amp;TEXT($C17-$E17,"0.##")&amp;" "&amp;$D17))</f>
        <v/>
      </c>
    </row>
    <row r="18" customFormat="false" ht="15" hidden="false" customHeight="false" outlineLevel="0" collapsed="false">
      <c r="B18" s="35" t="str">
        <f aca="false" t="array" ref="B18:B18">IFERROR(INDEX(Data!$C$3:$C$278,SMALL(IF(Data!$B$3:$B$278=$C$3,ROW(Data!$B$3:$B$278)-2),9)),"")</f>
        <v/>
      </c>
      <c r="C18" s="35" t="str">
        <f aca="false">IF($B18="","",ROUND(SUMIFS(Data!$G$3:$G$278,Data!$B$3:$B$278,$C$3,Data!$C$3:$C$278,$B18)*Home!$D$5,2))</f>
        <v/>
      </c>
      <c r="D18" s="35" t="str">
        <f aca="false">IF($B18="","",VLOOKUP($B18,Pantry!$A$7:$C$68,3,0))</f>
        <v/>
      </c>
      <c r="E18" s="35" t="str">
        <f aca="false">IF($B18="","",VLOOKUP($B18,Pantry!$A$7:$I$68,9,0))</f>
        <v/>
      </c>
      <c r="F18" s="35" t="str">
        <f aca="false">IF($B18="","",IF($E18&gt;=$C18-0.0001,"☑ Have it","BUY "&amp;TEXT($C18-$E18,"0.##")&amp;" "&amp;$D18))</f>
        <v/>
      </c>
    </row>
    <row r="19" customFormat="false" ht="15" hidden="false" customHeight="false" outlineLevel="0" collapsed="false">
      <c r="B19" s="35" t="str">
        <f aca="false" t="array" ref="B19:B19">IFERROR(INDEX(Data!$C$3:$C$278,SMALL(IF(Data!$B$3:$B$278=$C$3,ROW(Data!$B$3:$B$278)-2),10)),"")</f>
        <v/>
      </c>
      <c r="C19" s="35" t="str">
        <f aca="false">IF($B19="","",ROUND(SUMIFS(Data!$G$3:$G$278,Data!$B$3:$B$278,$C$3,Data!$C$3:$C$278,$B19)*Home!$D$5,2))</f>
        <v/>
      </c>
      <c r="D19" s="35" t="str">
        <f aca="false">IF($B19="","",VLOOKUP($B19,Pantry!$A$7:$C$68,3,0))</f>
        <v/>
      </c>
      <c r="E19" s="35" t="str">
        <f aca="false">IF($B19="","",VLOOKUP($B19,Pantry!$A$7:$I$68,9,0))</f>
        <v/>
      </c>
      <c r="F19" s="35" t="str">
        <f aca="false">IF($B19="","",IF($E19&gt;=$C19-0.0001,"☑ Have it","BUY "&amp;TEXT($C19-$E19,"0.##")&amp;" "&amp;$D19))</f>
        <v/>
      </c>
    </row>
    <row r="20" customFormat="false" ht="15" hidden="false" customHeight="false" outlineLevel="0" collapsed="false">
      <c r="B20" s="35" t="str">
        <f aca="false" t="array" ref="B20:B20">IFERROR(INDEX(Data!$C$3:$C$278,SMALL(IF(Data!$B$3:$B$278=$C$3,ROW(Data!$B$3:$B$278)-2),11)),"")</f>
        <v/>
      </c>
      <c r="C20" s="35" t="str">
        <f aca="false">IF($B20="","",ROUND(SUMIFS(Data!$G$3:$G$278,Data!$B$3:$B$278,$C$3,Data!$C$3:$C$278,$B20)*Home!$D$5,2))</f>
        <v/>
      </c>
      <c r="D20" s="35" t="str">
        <f aca="false">IF($B20="","",VLOOKUP($B20,Pantry!$A$7:$C$68,3,0))</f>
        <v/>
      </c>
      <c r="E20" s="35" t="str">
        <f aca="false">IF($B20="","",VLOOKUP($B20,Pantry!$A$7:$I$68,9,0))</f>
        <v/>
      </c>
      <c r="F20" s="35" t="str">
        <f aca="false">IF($B20="","",IF($E20&gt;=$C20-0.0001,"☑ Have it","BUY "&amp;TEXT($C20-$E20,"0.##")&amp;" "&amp;$D20))</f>
        <v/>
      </c>
    </row>
    <row r="21" customFormat="false" ht="15" hidden="false" customHeight="false" outlineLevel="0" collapsed="false">
      <c r="B21" s="35" t="str">
        <f aca="false" t="array" ref="B21:B21">IFERROR(INDEX(Data!$C$3:$C$278,SMALL(IF(Data!$B$3:$B$278=$C$3,ROW(Data!$B$3:$B$278)-2),12)),"")</f>
        <v/>
      </c>
      <c r="C21" s="35" t="str">
        <f aca="false">IF($B21="","",ROUND(SUMIFS(Data!$G$3:$G$278,Data!$B$3:$B$278,$C$3,Data!$C$3:$C$278,$B21)*Home!$D$5,2))</f>
        <v/>
      </c>
      <c r="D21" s="35" t="str">
        <f aca="false">IF($B21="","",VLOOKUP($B21,Pantry!$A$7:$C$68,3,0))</f>
        <v/>
      </c>
      <c r="E21" s="35" t="str">
        <f aca="false">IF($B21="","",VLOOKUP($B21,Pantry!$A$7:$I$68,9,0))</f>
        <v/>
      </c>
      <c r="F21" s="35" t="str">
        <f aca="false">IF($B21="","",IF($E21&gt;=$C21-0.0001,"☑ Have it","BUY "&amp;TEXT($C21-$E21,"0.##")&amp;" "&amp;$D21))</f>
        <v/>
      </c>
    </row>
    <row r="22" customFormat="false" ht="15" hidden="false" customHeight="false" outlineLevel="0" collapsed="false">
      <c r="B22" s="35" t="str">
        <f aca="false" t="array" ref="B22:B22">IFERROR(INDEX(Data!$C$3:$C$278,SMALL(IF(Data!$B$3:$B$278=$C$3,ROW(Data!$B$3:$B$278)-2),13)),"")</f>
        <v/>
      </c>
      <c r="C22" s="35" t="str">
        <f aca="false">IF($B22="","",ROUND(SUMIFS(Data!$G$3:$G$278,Data!$B$3:$B$278,$C$3,Data!$C$3:$C$278,$B22)*Home!$D$5,2))</f>
        <v/>
      </c>
      <c r="D22" s="35" t="str">
        <f aca="false">IF($B22="","",VLOOKUP($B22,Pantry!$A$7:$C$68,3,0))</f>
        <v/>
      </c>
      <c r="E22" s="35" t="str">
        <f aca="false">IF($B22="","",VLOOKUP($B22,Pantry!$A$7:$I$68,9,0))</f>
        <v/>
      </c>
      <c r="F22" s="35" t="str">
        <f aca="false">IF($B22="","",IF($E22&gt;=$C22-0.0001,"☑ Have it","BUY "&amp;TEXT($C22-$E22,"0.##")&amp;" "&amp;$D22))</f>
        <v/>
      </c>
    </row>
    <row r="23" customFormat="false" ht="15" hidden="false" customHeight="false" outlineLevel="0" collapsed="false">
      <c r="B23" s="35" t="str">
        <f aca="false" t="array" ref="B23:B23">IFERROR(INDEX(Data!$C$3:$C$278,SMALL(IF(Data!$B$3:$B$278=$C$3,ROW(Data!$B$3:$B$278)-2),14)),"")</f>
        <v/>
      </c>
      <c r="C23" s="35" t="str">
        <f aca="false">IF($B23="","",ROUND(SUMIFS(Data!$G$3:$G$278,Data!$B$3:$B$278,$C$3,Data!$C$3:$C$278,$B23)*Home!$D$5,2))</f>
        <v/>
      </c>
      <c r="D23" s="35" t="str">
        <f aca="false">IF($B23="","",VLOOKUP($B23,Pantry!$A$7:$C$68,3,0))</f>
        <v/>
      </c>
      <c r="E23" s="35" t="str">
        <f aca="false">IF($B23="","",VLOOKUP($B23,Pantry!$A$7:$I$68,9,0))</f>
        <v/>
      </c>
      <c r="F23" s="35" t="str">
        <f aca="false">IF($B23="","",IF($E23&gt;=$C23-0.0001,"☑ Have it","BUY "&amp;TEXT($C23-$E23,"0.##")&amp;" "&amp;$D23))</f>
        <v/>
      </c>
    </row>
    <row r="24" customFormat="false" ht="15" hidden="false" customHeight="false" outlineLevel="0" collapsed="false">
      <c r="B24" s="35" t="str">
        <f aca="false" t="array" ref="B24:B24">IFERROR(INDEX(Data!$C$3:$C$278,SMALL(IF(Data!$B$3:$B$278=$C$3,ROW(Data!$B$3:$B$278)-2),15)),"")</f>
        <v/>
      </c>
      <c r="C24" s="35" t="str">
        <f aca="false">IF($B24="","",ROUND(SUMIFS(Data!$G$3:$G$278,Data!$B$3:$B$278,$C$3,Data!$C$3:$C$278,$B24)*Home!$D$5,2))</f>
        <v/>
      </c>
      <c r="D24" s="35" t="str">
        <f aca="false">IF($B24="","",VLOOKUP($B24,Pantry!$A$7:$C$68,3,0))</f>
        <v/>
      </c>
      <c r="E24" s="35" t="str">
        <f aca="false">IF($B24="","",VLOOKUP($B24,Pantry!$A$7:$I$68,9,0))</f>
        <v/>
      </c>
      <c r="F24" s="35" t="str">
        <f aca="false">IF($B24="","",IF($E24&gt;=$C24-0.0001,"☑ Have it","BUY "&amp;TEXT($C24-$E24,"0.##")&amp;" "&amp;$D24))</f>
        <v/>
      </c>
    </row>
    <row r="25" customFormat="false" ht="15" hidden="false" customHeight="false" outlineLevel="0" collapsed="false">
      <c r="B25" s="35" t="str">
        <f aca="false" t="array" ref="B25:B25">IFERROR(INDEX(Data!$C$3:$C$278,SMALL(IF(Data!$B$3:$B$278=$C$3,ROW(Data!$B$3:$B$278)-2),16)),"")</f>
        <v/>
      </c>
      <c r="C25" s="35" t="str">
        <f aca="false">IF($B25="","",ROUND(SUMIFS(Data!$G$3:$G$278,Data!$B$3:$B$278,$C$3,Data!$C$3:$C$278,$B25)*Home!$D$5,2))</f>
        <v/>
      </c>
      <c r="D25" s="35" t="str">
        <f aca="false">IF($B25="","",VLOOKUP($B25,Pantry!$A$7:$C$68,3,0))</f>
        <v/>
      </c>
      <c r="E25" s="35" t="str">
        <f aca="false">IF($B25="","",VLOOKUP($B25,Pantry!$A$7:$I$68,9,0))</f>
        <v/>
      </c>
      <c r="F25" s="35" t="str">
        <f aca="false">IF($B25="","",IF($E25&gt;=$C25-0.0001,"☑ Have it","BUY "&amp;TEXT($C25-$E25,"0.##")&amp;" "&amp;$D25))</f>
        <v/>
      </c>
    </row>
    <row r="26" customFormat="false" ht="15" hidden="false" customHeight="false" outlineLevel="0" collapsed="false">
      <c r="B26" s="35" t="str">
        <f aca="false" t="array" ref="B26:B26">IFERROR(INDEX(Data!$C$3:$C$278,SMALL(IF(Data!$B$3:$B$278=$C$3,ROW(Data!$B$3:$B$278)-2),17)),"")</f>
        <v/>
      </c>
      <c r="C26" s="35" t="str">
        <f aca="false">IF($B26="","",ROUND(SUMIFS(Data!$G$3:$G$278,Data!$B$3:$B$278,$C$3,Data!$C$3:$C$278,$B26)*Home!$D$5,2))</f>
        <v/>
      </c>
      <c r="D26" s="35" t="str">
        <f aca="false">IF($B26="","",VLOOKUP($B26,Pantry!$A$7:$C$68,3,0))</f>
        <v/>
      </c>
      <c r="E26" s="35" t="str">
        <f aca="false">IF($B26="","",VLOOKUP($B26,Pantry!$A$7:$I$68,9,0))</f>
        <v/>
      </c>
      <c r="F26" s="35" t="str">
        <f aca="false">IF($B26="","",IF($E26&gt;=$C26-0.0001,"☑ Have it","BUY "&amp;TEXT($C26-$E26,"0.##")&amp;" "&amp;$D26))</f>
        <v/>
      </c>
    </row>
    <row r="27" customFormat="false" ht="15" hidden="false" customHeight="false" outlineLevel="0" collapsed="false">
      <c r="B27" s="35" t="str">
        <f aca="false" t="array" ref="B27:B27">IFERROR(INDEX(Data!$C$3:$C$278,SMALL(IF(Data!$B$3:$B$278=$C$3,ROW(Data!$B$3:$B$278)-2),18)),"")</f>
        <v/>
      </c>
      <c r="C27" s="35" t="str">
        <f aca="false">IF($B27="","",ROUND(SUMIFS(Data!$G$3:$G$278,Data!$B$3:$B$278,$C$3,Data!$C$3:$C$278,$B27)*Home!$D$5,2))</f>
        <v/>
      </c>
      <c r="D27" s="35" t="str">
        <f aca="false">IF($B27="","",VLOOKUP($B27,Pantry!$A$7:$C$68,3,0))</f>
        <v/>
      </c>
      <c r="E27" s="35" t="str">
        <f aca="false">IF($B27="","",VLOOKUP($B27,Pantry!$A$7:$I$68,9,0))</f>
        <v/>
      </c>
      <c r="F27" s="35" t="str">
        <f aca="false">IF($B27="","",IF($E27&gt;=$C27-0.0001,"☑ Have it","BUY "&amp;TEXT($C27-$E27,"0.##")&amp;" "&amp;$D27))</f>
        <v/>
      </c>
    </row>
  </sheetData>
  <mergeCells count="2">
    <mergeCell ref="C3:E3"/>
    <mergeCell ref="C7:G7"/>
  </mergeCells>
  <conditionalFormatting sqref="F10:F27">
    <cfRule type="expression" priority="2" aboveAverage="0" equalAverage="0" bottom="0" percent="0" rank="0" text="" dxfId="0">
      <formula>LEFT($F10,3)="BUY"</formula>
    </cfRule>
    <cfRule type="expression" priority="3" aboveAverage="0" equalAverage="0" bottom="0" percent="0" rank="0" text="" dxfId="5">
      <formula>LEFT($F10,1)="☑"</formula>
    </cfRule>
  </conditionalFormatting>
  <dataValidations count="1">
    <dataValidation allowBlank="true" errorStyle="stop" operator="between" showDropDown="false" showErrorMessage="false" showInputMessage="false" sqref="C3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2026-07-07T07:30:51Z</dcterms:created>
  <dc:creator>openpyxl</dc:creator>
  <dc:description/>
  <dc:language>en-US</dc:language>
  <cp:lastModifiedBy/>
  <dcterms:modified xsi:type="dcterms:W3CDTF">2026-07-07T07:30:51Z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